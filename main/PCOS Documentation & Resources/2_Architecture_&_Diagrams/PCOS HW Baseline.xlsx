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1b34f964ef029/Desktop/PCOS - Home Lab/Artifacts/2 - Archtecture ^0 Diagrams/"/>
    </mc:Choice>
  </mc:AlternateContent>
  <xr:revisionPtr revIDLastSave="51" documentId="8_{4DE41422-A2E6-450F-A8A4-31DD9D699F27}" xr6:coauthVersionLast="47" xr6:coauthVersionMax="47" xr10:uidLastSave="{241DE4CE-798B-4B93-AAF2-623C051FD707}"/>
  <bookViews>
    <workbookView xWindow="28680" yWindow="-120" windowWidth="29040" windowHeight="16440" activeTab="1" xr2:uid="{1199C968-BAD4-429F-9576-469F672E9A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B34" i="1"/>
</calcChain>
</file>

<file path=xl/sharedStrings.xml><?xml version="1.0" encoding="utf-8"?>
<sst xmlns="http://schemas.openxmlformats.org/spreadsheetml/2006/main" count="627" uniqueCount="164">
  <si>
    <t>Component Name</t>
  </si>
  <si>
    <t>Price</t>
  </si>
  <si>
    <t>Component Type</t>
  </si>
  <si>
    <t>Make</t>
  </si>
  <si>
    <t>Model</t>
  </si>
  <si>
    <t>CPU</t>
  </si>
  <si>
    <t>RAM</t>
  </si>
  <si>
    <t>Storage</t>
  </si>
  <si>
    <t>Network Interface</t>
  </si>
  <si>
    <t>Power Source</t>
  </si>
  <si>
    <t>Primary Purpose / Notes</t>
  </si>
  <si>
    <t>8U Server Cabinet, 10 inch Server Rack</t>
  </si>
  <si>
    <t>Rack</t>
  </si>
  <si>
    <t>GeekPi</t>
  </si>
  <si>
    <t>8U 10” Cabinet</t>
  </si>
  <si>
    <t>N/A</t>
  </si>
  <si>
    <t>External A/C (UPS)</t>
  </si>
  <si>
    <t>Houses and organizes rack-mounted gear</t>
  </si>
  <si>
    <t>Rack Shelf 10 inch</t>
  </si>
  <si>
    <t>Rack Shelf</t>
  </si>
  <si>
    <t>DeskPi</t>
  </si>
  <si>
    <t>RackMate</t>
  </si>
  <si>
    <t>Shelf for small devices/gear</t>
  </si>
  <si>
    <t>Surge Protector Power Strip with Rotating Outlets</t>
  </si>
  <si>
    <t>Power Strip</t>
  </si>
  <si>
    <t>Echo Gear</t>
  </si>
  <si>
    <t>Voltspin</t>
  </si>
  <si>
    <t>Extends A/C Outlet Availibility for Devices</t>
  </si>
  <si>
    <t>Canakit Raspberry Pi 4 Pro</t>
  </si>
  <si>
    <t>Compute</t>
  </si>
  <si>
    <t>Raspberry Pi / CanaKit</t>
  </si>
  <si>
    <t>Pi 4 Pro</t>
  </si>
  <si>
    <t>Quad-core ARM Cortex-A72 (4 cores) @ 1.5GHz</t>
  </si>
  <si>
    <t>4GB</t>
  </si>
  <si>
    <t>32GB microSD</t>
  </si>
  <si>
    <t>1 GbE, Wi-Fi, BT</t>
  </si>
  <si>
    <t>Mini compute for performance managment</t>
  </si>
  <si>
    <t>Raspberry Pi Screen, 10.1 Inch Touchscreen</t>
  </si>
  <si>
    <t>Monitor/Peripheral</t>
  </si>
  <si>
    <t>iPistBit</t>
  </si>
  <si>
    <t>10.1” Touchscreen</t>
  </si>
  <si>
    <t>USB Power</t>
  </si>
  <si>
    <t>Performance Grafana Dashboard(s) Display</t>
  </si>
  <si>
    <t>Vilros 15 Inch USB Keyboard with Touchpad</t>
  </si>
  <si>
    <t>Keyboard/Peripheral</t>
  </si>
  <si>
    <t>Vilros</t>
  </si>
  <si>
    <t>VILP108</t>
  </si>
  <si>
    <t>Local-Direct Console Access / Admin</t>
  </si>
  <si>
    <t>Sceptre 27" Gaming Monitor</t>
  </si>
  <si>
    <t>Sceptre</t>
  </si>
  <si>
    <t>E275W-FW100T</t>
  </si>
  <si>
    <t>A/C (UPS)</t>
  </si>
  <si>
    <t>Temporary Display for Local Maintenance</t>
  </si>
  <si>
    <t>Beelink Mini PC SER5 Pro</t>
  </si>
  <si>
    <t>Beelink</t>
  </si>
  <si>
    <t>SER5 Pro</t>
  </si>
  <si>
    <t>AMD Ryzen 7 5825U (8 cores, up to 4.5GHz)</t>
  </si>
  <si>
    <t>16GB</t>
  </si>
  <si>
    <t>500GB SSD</t>
  </si>
  <si>
    <t>2.5 GbE, Wi-Fi 6, BT 5.2</t>
  </si>
  <si>
    <t>Domain Controller, AD, DNS, DHCP, NTP</t>
  </si>
  <si>
    <t>Dedicated Splunk Server (SH/Indexer)</t>
  </si>
  <si>
    <t>HP EliteDesk 800 G5 Mini PC</t>
  </si>
  <si>
    <t>HP</t>
  </si>
  <si>
    <t>EliteDesk 800 G5</t>
  </si>
  <si>
    <t>Intel Core i5-9500T (6 cores)</t>
  </si>
  <si>
    <t>32GB</t>
  </si>
  <si>
    <t>1TB SSD</t>
  </si>
  <si>
    <t>Virtualization / small server</t>
  </si>
  <si>
    <t>UGREEN NASync DXP4800 4-Bay Desktop NAS</t>
  </si>
  <si>
    <t>Storage / NAS</t>
  </si>
  <si>
    <t>UGREEN</t>
  </si>
  <si>
    <t>NASync DXP4800</t>
  </si>
  <si>
    <t>Intel N100 Quad-core</t>
  </si>
  <si>
    <t>8GB</t>
  </si>
  <si>
    <t>32GB eMMC</t>
  </si>
  <si>
    <t>2× 2.5GbE</t>
  </si>
  <si>
    <t>Central NAS for file storage/shares</t>
  </si>
  <si>
    <t>Samsung 990 PRO SSD 1TB PCIe 4.0 M.2</t>
  </si>
  <si>
    <t>Storage (SSD)</t>
  </si>
  <si>
    <t>Samsung</t>
  </si>
  <si>
    <t>990 PRO</t>
  </si>
  <si>
    <t>1TB NVMe SSD</t>
  </si>
  <si>
    <t>High-speed SSD for NAS expansion</t>
  </si>
  <si>
    <t>4TB Western Digital Red Plus HDD</t>
  </si>
  <si>
    <t>Storage (HDD)</t>
  </si>
  <si>
    <t>Western Digital</t>
  </si>
  <si>
    <t>WD Red Plus 4TB</t>
  </si>
  <si>
    <t>4TB SATA HDD</t>
  </si>
  <si>
    <t>NAS-class HDD for storage</t>
  </si>
  <si>
    <t>UGREEN USB to Ethernet Adapter 2.5Gb</t>
  </si>
  <si>
    <t>Network Adapter</t>
  </si>
  <si>
    <t>USB 2.5GbE Adapter</t>
  </si>
  <si>
    <t>2.5 GbE (via USB)</t>
  </si>
  <si>
    <t>Expands NICs for Pi/PC</t>
  </si>
  <si>
    <t>GeeekPi 12 Port Patch Panel</t>
  </si>
  <si>
    <t>Networking</t>
  </si>
  <si>
    <t>GeeekPi</t>
  </si>
  <si>
    <t>12-Port Mini Patch Panel</t>
  </si>
  <si>
    <t>RJ45 Ports</t>
  </si>
  <si>
    <t>Cable management / termination</t>
  </si>
  <si>
    <t>NETGEAR EnGenius 8 x 1G/2.5G Managed Switch</t>
  </si>
  <si>
    <t>Switch (PoE)</t>
  </si>
  <si>
    <t>MS308E</t>
  </si>
  <si>
    <t>EWS2910FP-FIT</t>
  </si>
  <si>
    <t>8× GbE + 2× SFP</t>
  </si>
  <si>
    <t>PoE switch for devices/APs</t>
  </si>
  <si>
    <t>Protectli Vault FW2B</t>
  </si>
  <si>
    <t>Firewall / Router</t>
  </si>
  <si>
    <t>Protectli</t>
  </si>
  <si>
    <t>Vault FW2B</t>
  </si>
  <si>
    <t>Intel Celeron J3060 (2 cores)</t>
  </si>
  <si>
    <t>120GB mSATA SSD</t>
  </si>
  <si>
    <t>2× GbE</t>
  </si>
  <si>
    <t>Firewall appliance (pfSense/OPNsense)</t>
  </si>
  <si>
    <t>CyberPower CP1500AVRLCD3</t>
  </si>
  <si>
    <t>UPS</t>
  </si>
  <si>
    <t>CyberPower</t>
  </si>
  <si>
    <t>CP1500AVRLCD3</t>
  </si>
  <si>
    <t>Battery/AC Outlet</t>
  </si>
  <si>
    <t>Backup power for rack gear</t>
  </si>
  <si>
    <t>System / Capability Totals</t>
  </si>
  <si>
    <t>—</t>
  </si>
  <si>
    <t>30 Cores / 60 Threads</t>
  </si>
  <si>
    <t>100GB</t>
  </si>
  <si>
    <t>~4.78TB SSD + 16TB HDD = ~20.78TB</t>
  </si>
  <si>
    <r>
      <t xml:space="preserve">System Elements
</t>
    </r>
    <r>
      <rPr>
        <b/>
        <i/>
        <sz val="9"/>
        <color theme="1"/>
        <rFont val="Arial"/>
        <family val="2"/>
      </rPr>
      <t>(Mission Enabling)</t>
    </r>
  </si>
  <si>
    <r>
      <t xml:space="preserve">Enabling Systems
</t>
    </r>
    <r>
      <rPr>
        <b/>
        <i/>
        <sz val="9"/>
        <color theme="1"/>
        <rFont val="Arial"/>
        <family val="2"/>
      </rPr>
      <t>(Physical Support Infrastructure)</t>
    </r>
  </si>
  <si>
    <t>Beelink Mini PC SER5 MAX</t>
  </si>
  <si>
    <t>Rack Frame</t>
  </si>
  <si>
    <t>Houses and organizes Homelab Devices</t>
  </si>
  <si>
    <t>Surge Protector</t>
  </si>
  <si>
    <t>EchoGear</t>
  </si>
  <si>
    <t>CanaKit</t>
  </si>
  <si>
    <t>Quad-core ARM Cortex-A72
(4 cores) @ 1.5GHz</t>
  </si>
  <si>
    <t>1 GbE, Wi-Fi,
and BT</t>
  </si>
  <si>
    <t>Monitor</t>
  </si>
  <si>
    <t>Keyboard</t>
  </si>
  <si>
    <t>Temporary Display - Local Maintenance</t>
  </si>
  <si>
    <t>Beelink SER5 MAX Mini PC</t>
  </si>
  <si>
    <t>SER5 MAX</t>
  </si>
  <si>
    <t>AMD Ryzen 7 6800U
(8 Cores/16T, up to ~4.7 GHz)</t>
  </si>
  <si>
    <t>24 GB</t>
  </si>
  <si>
    <t>500 GB SSD</t>
  </si>
  <si>
    <t>2.5 GbE, Wi-Fi 6,
and BT 5.2</t>
  </si>
  <si>
    <t>Beelink SER5 Pro Mini PC</t>
  </si>
  <si>
    <t>AMD Ryzen 7 5825U
(8 Cores/16T, up to ~4.5 GHz)</t>
  </si>
  <si>
    <t>16 GB</t>
  </si>
  <si>
    <t>500 GB NVMe SSD</t>
  </si>
  <si>
    <t>Dedicated Splunk (Search Head + Indexer), Nessus, SCAP Engine Server</t>
  </si>
  <si>
    <t>Virtualization / small server (Hyper-V)</t>
  </si>
  <si>
    <t>Storage (NVMe SSD)</t>
  </si>
  <si>
    <t>High-speed SSD for NAS caching</t>
  </si>
  <si>
    <t>Removal of bandwidth limits for NAS</t>
  </si>
  <si>
    <t>Cable Management</t>
  </si>
  <si>
    <t>12-Port Patch Panel</t>
  </si>
  <si>
    <t>Intel Celeron J3060 Dual-Core (1.6 GHz, Turbo up to ~2.48 GHz, AES-NI)</t>
  </si>
  <si>
    <t>CyberPower UPS Device</t>
  </si>
  <si>
    <t>Cyber
Power</t>
  </si>
  <si>
    <t>Backup power for Homelab equipment</t>
  </si>
  <si>
    <t>38 Cores  /  54 Threads</t>
  </si>
  <si>
    <t>124 GB</t>
  </si>
  <si>
    <r>
      <rPr>
        <sz val="10"/>
        <color theme="0"/>
        <rFont val="Aptos Narrow"/>
        <family val="2"/>
        <scheme val="minor"/>
      </rPr>
      <t xml:space="preserve">SSD/NVMe: 5.18 TB
HDD: 16 TB
</t>
    </r>
    <r>
      <rPr>
        <b/>
        <sz val="12"/>
        <color theme="0"/>
        <rFont val="Aptos Narrow"/>
        <family val="2"/>
        <scheme val="minor"/>
      </rPr>
      <t>TOTAL ≈ 21.18 TB</t>
    </r>
  </si>
  <si>
    <t>PCOS - Hardware Inventory / Hardware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</si>
</sst>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2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rgb="FFFFFFFF"/>
      <name val="Roboto"/>
    </font>
    <font>
      <b/>
      <sz val="9"/>
      <color rgb="FF434343"/>
      <name val="Roboto"/>
    </font>
    <font>
      <b/>
      <sz val="9"/>
      <color rgb="FF38761D"/>
      <name val="Roboto"/>
    </font>
    <font>
      <b/>
      <sz val="9"/>
      <color rgb="FF0F1111"/>
      <name val="Amazon Ember"/>
    </font>
    <font>
      <b/>
      <sz val="9"/>
      <color rgb="FFFF0000"/>
      <name val="Roboto"/>
    </font>
    <font>
      <b/>
      <sz val="11"/>
      <color theme="0"/>
      <name val="Aptos Narrow"/>
      <family val="2"/>
      <scheme val="minor"/>
    </font>
    <font>
      <b/>
      <sz val="10"/>
      <color rgb="FF38761D"/>
      <name val="Roboto"/>
    </font>
    <font>
      <sz val="10"/>
      <color theme="1"/>
      <name val="Aptos Narrow"/>
      <family val="2"/>
      <scheme val="minor"/>
    </font>
    <font>
      <sz val="10"/>
      <color rgb="FF434343"/>
      <name val="Roboto"/>
    </font>
    <font>
      <b/>
      <sz val="14"/>
      <color theme="0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B463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81623"/>
        <bgColor indexed="64"/>
      </patternFill>
    </fill>
  </fills>
  <borders count="32">
    <border>
      <left/>
      <right/>
      <top/>
      <bottom/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medium">
        <color rgb="FFCCCCCC"/>
      </top>
      <bottom/>
      <diagonal/>
    </border>
    <border>
      <left/>
      <right style="double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C352D"/>
      </bottom>
      <diagonal/>
    </border>
    <border>
      <left style="medium">
        <color rgb="FF8C352D"/>
      </left>
      <right style="medium">
        <color rgb="FFBB463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BB463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8C352D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C352D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C352D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/>
      <top style="medium">
        <color rgb="FFCCCCCC"/>
      </top>
      <bottom/>
      <diagonal/>
    </border>
    <border>
      <left style="double">
        <color rgb="FF000000"/>
      </left>
      <right/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0" xfId="0" applyFont="1"/>
    <xf numFmtId="0" fontId="1" fillId="0" borderId="9" xfId="0" applyFont="1" applyBorder="1" applyAlignment="1">
      <alignment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vertical="center" wrapText="1"/>
    </xf>
    <xf numFmtId="8" fontId="7" fillId="4" borderId="14" xfId="0" applyNumberFormat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8" fontId="7" fillId="2" borderId="14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8" fontId="6" fillId="6" borderId="16" xfId="0" applyNumberFormat="1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/>
    </xf>
    <xf numFmtId="8" fontId="11" fillId="8" borderId="14" xfId="0" applyNumberFormat="1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8" fontId="11" fillId="9" borderId="14" xfId="0" applyNumberFormat="1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/>
    </xf>
    <xf numFmtId="164" fontId="15" fillId="10" borderId="24" xfId="0" applyNumberFormat="1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20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14" fillId="10" borderId="21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left" vertical="center"/>
    </xf>
    <xf numFmtId="0" fontId="12" fillId="9" borderId="22" xfId="0" applyFont="1" applyFill="1" applyBorder="1" applyAlignment="1">
      <alignment horizontal="left" vertical="center"/>
    </xf>
    <xf numFmtId="0" fontId="12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0" fillId="9" borderId="22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3" xfId="0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left" vertical="center" wrapText="1"/>
    </xf>
    <xf numFmtId="0" fontId="12" fillId="9" borderId="22" xfId="0" applyFont="1" applyFill="1" applyBorder="1" applyAlignment="1">
      <alignment horizontal="left" vertical="center" wrapText="1"/>
    </xf>
    <xf numFmtId="0" fontId="12" fillId="9" borderId="23" xfId="0" applyFont="1" applyFill="1" applyBorder="1" applyAlignment="1">
      <alignment horizontal="left" vertical="center" wrapText="1"/>
    </xf>
    <xf numFmtId="0" fontId="12" fillId="8" borderId="21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left" vertical="center"/>
    </xf>
    <xf numFmtId="0" fontId="12" fillId="8" borderId="22" xfId="0" applyFont="1" applyFill="1" applyBorder="1" applyAlignment="1">
      <alignment horizontal="left" vertical="center"/>
    </xf>
    <xf numFmtId="0" fontId="12" fillId="8" borderId="23" xfId="0" applyFont="1" applyFill="1" applyBorder="1" applyAlignment="1">
      <alignment horizontal="left" vertical="center"/>
    </xf>
    <xf numFmtId="0" fontId="0" fillId="8" borderId="21" xfId="0" applyFill="1" applyBorder="1" applyAlignment="1">
      <alignment horizontal="left" vertical="center"/>
    </xf>
    <xf numFmtId="0" fontId="0" fillId="8" borderId="22" xfId="0" applyFill="1" applyBorder="1" applyAlignment="1">
      <alignment horizontal="left" vertical="center"/>
    </xf>
    <xf numFmtId="0" fontId="0" fillId="8" borderId="23" xfId="0" applyFill="1" applyBorder="1" applyAlignment="1">
      <alignment horizontal="left" vertical="center"/>
    </xf>
    <xf numFmtId="0" fontId="12" fillId="8" borderId="22" xfId="0" applyFont="1" applyFill="1" applyBorder="1" applyAlignment="1">
      <alignment horizontal="center" vertical="center"/>
    </xf>
    <xf numFmtId="0" fontId="12" fillId="8" borderId="25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0" fontId="10" fillId="7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0" fillId="11" borderId="0" xfId="0" applyFill="1"/>
    <xf numFmtId="0" fontId="19" fillId="9" borderId="26" xfId="0" applyFont="1" applyFill="1" applyBorder="1" applyAlignment="1">
      <alignment horizontal="center" vertical="center" wrapText="1"/>
    </xf>
    <xf numFmtId="0" fontId="19" fillId="9" borderId="27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19" fillId="8" borderId="26" xfId="0" applyFont="1" applyFill="1" applyBorder="1" applyAlignment="1">
      <alignment horizontal="center" vertical="center" wrapText="1"/>
    </xf>
    <xf numFmtId="0" fontId="19" fillId="8" borderId="27" xfId="0" applyFont="1" applyFill="1" applyBorder="1" applyAlignment="1">
      <alignment horizontal="center" vertical="center" wrapText="1"/>
    </xf>
    <xf numFmtId="0" fontId="19" fillId="8" borderId="28" xfId="0" applyFont="1" applyFill="1" applyBorder="1" applyAlignment="1">
      <alignment horizontal="center" vertical="center" wrapText="1"/>
    </xf>
    <xf numFmtId="0" fontId="19" fillId="8" borderId="29" xfId="0" applyFont="1" applyFill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0" fontId="19" fillId="8" borderId="31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3A5A-E699-405B-BEA8-1F730DEA7887}">
  <dimension ref="A1:K34"/>
  <sheetViews>
    <sheetView workbookViewId="0">
      <selection activeCell="I38" sqref="I38"/>
    </sheetView>
  </sheetViews>
  <sheetFormatPr defaultRowHeight="12"/>
  <cols>
    <col min="1" max="1" width="39.85546875" style="3" bestFit="1" customWidth="1"/>
    <col min="2" max="2" width="9.28515625" style="3" bestFit="1" customWidth="1"/>
    <col min="3" max="3" width="16.7109375" style="3" bestFit="1" customWidth="1"/>
    <col min="4" max="4" width="12.5703125" style="3" bestFit="1" customWidth="1"/>
    <col min="5" max="5" width="20.7109375" style="3" bestFit="1" customWidth="1"/>
    <col min="6" max="6" width="38.7109375" style="3" bestFit="1" customWidth="1"/>
    <col min="7" max="7" width="6.28515625" style="3" bestFit="1" customWidth="1"/>
    <col min="8" max="8" width="31.42578125" style="3" bestFit="1" customWidth="1"/>
    <col min="9" max="9" width="19.5703125" style="3" bestFit="1" customWidth="1"/>
    <col min="10" max="10" width="15.42578125" style="3" bestFit="1" customWidth="1"/>
    <col min="11" max="11" width="34.5703125" style="3" bestFit="1" customWidth="1"/>
    <col min="12" max="16384" width="9.140625" style="3"/>
  </cols>
  <sheetData>
    <row r="1" spans="1:11" ht="13.5" thickTop="1" thickBot="1">
      <c r="A1" s="1"/>
      <c r="B1" s="26" t="s">
        <v>126</v>
      </c>
      <c r="C1" s="27"/>
      <c r="D1" s="28"/>
      <c r="E1" s="32"/>
      <c r="F1" s="33"/>
      <c r="G1" s="36" t="s">
        <v>127</v>
      </c>
      <c r="H1" s="37"/>
      <c r="I1" s="38"/>
      <c r="J1" s="2"/>
      <c r="K1" s="2"/>
    </row>
    <row r="2" spans="1:11" ht="12.75" thickBot="1">
      <c r="A2" s="1"/>
      <c r="B2" s="29"/>
      <c r="C2" s="30"/>
      <c r="D2" s="31"/>
      <c r="E2" s="34"/>
      <c r="F2" s="35"/>
      <c r="G2" s="39"/>
      <c r="H2" s="40"/>
      <c r="I2" s="41"/>
      <c r="J2" s="2"/>
      <c r="K2" s="2"/>
    </row>
    <row r="3" spans="1:11" ht="12.75" thickBo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2.75" thickBot="1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7" t="s">
        <v>10</v>
      </c>
    </row>
    <row r="5" spans="1:11" ht="12.75" thickBot="1">
      <c r="A5" s="8" t="s">
        <v>11</v>
      </c>
      <c r="B5" s="9">
        <v>128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16</v>
      </c>
      <c r="K5" s="10" t="s">
        <v>17</v>
      </c>
    </row>
    <row r="6" spans="1:11" ht="12.75" thickBot="1">
      <c r="A6" s="8" t="s">
        <v>18</v>
      </c>
      <c r="B6" s="9">
        <v>22</v>
      </c>
      <c r="C6" s="10" t="s">
        <v>19</v>
      </c>
      <c r="D6" s="10" t="s">
        <v>20</v>
      </c>
      <c r="E6" s="10" t="s">
        <v>21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22</v>
      </c>
    </row>
    <row r="7" spans="1:11" ht="12.75" thickBot="1">
      <c r="A7" s="8" t="s">
        <v>18</v>
      </c>
      <c r="B7" s="9">
        <v>22</v>
      </c>
      <c r="C7" s="10" t="s">
        <v>19</v>
      </c>
      <c r="D7" s="10" t="s">
        <v>20</v>
      </c>
      <c r="E7" s="10" t="s">
        <v>21</v>
      </c>
      <c r="F7" s="10" t="s">
        <v>15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22</v>
      </c>
    </row>
    <row r="8" spans="1:11" ht="12.75" thickBot="1">
      <c r="A8" s="8" t="s">
        <v>18</v>
      </c>
      <c r="B8" s="9">
        <v>22</v>
      </c>
      <c r="C8" s="10" t="s">
        <v>19</v>
      </c>
      <c r="D8" s="10" t="s">
        <v>20</v>
      </c>
      <c r="E8" s="10" t="s">
        <v>21</v>
      </c>
      <c r="F8" s="10" t="s">
        <v>15</v>
      </c>
      <c r="G8" s="10" t="s">
        <v>15</v>
      </c>
      <c r="H8" s="10" t="s">
        <v>15</v>
      </c>
      <c r="I8" s="10" t="s">
        <v>15</v>
      </c>
      <c r="J8" s="10" t="s">
        <v>15</v>
      </c>
      <c r="K8" s="10" t="s">
        <v>22</v>
      </c>
    </row>
    <row r="9" spans="1:11" ht="12.75" thickBot="1">
      <c r="A9" s="8" t="s">
        <v>18</v>
      </c>
      <c r="B9" s="9">
        <v>22</v>
      </c>
      <c r="C9" s="10" t="s">
        <v>19</v>
      </c>
      <c r="D9" s="10" t="s">
        <v>20</v>
      </c>
      <c r="E9" s="10" t="s">
        <v>21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22</v>
      </c>
    </row>
    <row r="10" spans="1:11" ht="12.75" thickBot="1">
      <c r="A10" s="8" t="s">
        <v>18</v>
      </c>
      <c r="B10" s="9">
        <v>22</v>
      </c>
      <c r="C10" s="10" t="s">
        <v>19</v>
      </c>
      <c r="D10" s="10" t="s">
        <v>20</v>
      </c>
      <c r="E10" s="10" t="s">
        <v>21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22</v>
      </c>
    </row>
    <row r="11" spans="1:11" ht="12.75" thickBot="1">
      <c r="A11" s="8" t="s">
        <v>18</v>
      </c>
      <c r="B11" s="9">
        <v>22</v>
      </c>
      <c r="C11" s="10" t="s">
        <v>19</v>
      </c>
      <c r="D11" s="10" t="s">
        <v>20</v>
      </c>
      <c r="E11" s="10" t="s">
        <v>21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22</v>
      </c>
    </row>
    <row r="12" spans="1:11" ht="12.75" thickBot="1">
      <c r="A12" s="8" t="s">
        <v>18</v>
      </c>
      <c r="B12" s="9">
        <v>22</v>
      </c>
      <c r="C12" s="10" t="s">
        <v>19</v>
      </c>
      <c r="D12" s="10" t="s">
        <v>20</v>
      </c>
      <c r="E12" s="10" t="s">
        <v>21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22</v>
      </c>
    </row>
    <row r="13" spans="1:11" ht="12.75" thickBot="1">
      <c r="A13" s="8" t="s">
        <v>23</v>
      </c>
      <c r="B13" s="9">
        <v>29</v>
      </c>
      <c r="C13" s="10" t="s">
        <v>24</v>
      </c>
      <c r="D13" s="10" t="s">
        <v>25</v>
      </c>
      <c r="E13" s="10" t="s">
        <v>26</v>
      </c>
      <c r="F13" s="10" t="s">
        <v>15</v>
      </c>
      <c r="G13" s="10" t="s">
        <v>15</v>
      </c>
      <c r="H13" s="10" t="s">
        <v>15</v>
      </c>
      <c r="I13" s="10" t="s">
        <v>15</v>
      </c>
      <c r="J13" s="10" t="s">
        <v>16</v>
      </c>
      <c r="K13" s="10" t="s">
        <v>27</v>
      </c>
    </row>
    <row r="14" spans="1:11" ht="24.75" thickBot="1">
      <c r="A14" s="11" t="s">
        <v>28</v>
      </c>
      <c r="B14" s="12">
        <v>130</v>
      </c>
      <c r="C14" s="13" t="s">
        <v>29</v>
      </c>
      <c r="D14" s="13" t="s">
        <v>30</v>
      </c>
      <c r="E14" s="13" t="s">
        <v>31</v>
      </c>
      <c r="F14" s="13" t="s">
        <v>32</v>
      </c>
      <c r="G14" s="13" t="s">
        <v>33</v>
      </c>
      <c r="H14" s="13" t="s">
        <v>34</v>
      </c>
      <c r="I14" s="13" t="s">
        <v>35</v>
      </c>
      <c r="J14" s="13" t="s">
        <v>16</v>
      </c>
      <c r="K14" s="13" t="s">
        <v>36</v>
      </c>
    </row>
    <row r="15" spans="1:11" ht="12.75" thickBot="1">
      <c r="A15" s="11" t="s">
        <v>37</v>
      </c>
      <c r="B15" s="12">
        <v>70</v>
      </c>
      <c r="C15" s="13" t="s">
        <v>38</v>
      </c>
      <c r="D15" s="13" t="s">
        <v>39</v>
      </c>
      <c r="E15" s="13" t="s">
        <v>40</v>
      </c>
      <c r="F15" s="13" t="s">
        <v>15</v>
      </c>
      <c r="G15" s="13" t="s">
        <v>15</v>
      </c>
      <c r="H15" s="13" t="s">
        <v>15</v>
      </c>
      <c r="I15" s="13" t="s">
        <v>15</v>
      </c>
      <c r="J15" s="13" t="s">
        <v>41</v>
      </c>
      <c r="K15" s="13" t="s">
        <v>42</v>
      </c>
    </row>
    <row r="16" spans="1:11" ht="12.75" thickBot="1">
      <c r="A16" s="11" t="s">
        <v>43</v>
      </c>
      <c r="B16" s="12">
        <v>37</v>
      </c>
      <c r="C16" s="13" t="s">
        <v>44</v>
      </c>
      <c r="D16" s="13" t="s">
        <v>45</v>
      </c>
      <c r="E16" s="13" t="s">
        <v>46</v>
      </c>
      <c r="F16" s="13" t="s">
        <v>15</v>
      </c>
      <c r="G16" s="13" t="s">
        <v>15</v>
      </c>
      <c r="H16" s="13" t="s">
        <v>15</v>
      </c>
      <c r="I16" s="13" t="s">
        <v>15</v>
      </c>
      <c r="J16" s="13" t="s">
        <v>41</v>
      </c>
      <c r="K16" s="13" t="s">
        <v>47</v>
      </c>
    </row>
    <row r="17" spans="1:11" ht="12.75" thickBot="1">
      <c r="A17" s="11" t="s">
        <v>48</v>
      </c>
      <c r="B17" s="12">
        <v>90</v>
      </c>
      <c r="C17" s="13" t="s">
        <v>38</v>
      </c>
      <c r="D17" s="13" t="s">
        <v>49</v>
      </c>
      <c r="E17" s="14" t="s">
        <v>50</v>
      </c>
      <c r="F17" s="13" t="s">
        <v>15</v>
      </c>
      <c r="G17" s="13" t="s">
        <v>15</v>
      </c>
      <c r="H17" s="13" t="s">
        <v>15</v>
      </c>
      <c r="I17" s="13" t="s">
        <v>15</v>
      </c>
      <c r="J17" s="13" t="s">
        <v>51</v>
      </c>
      <c r="K17" s="13" t="s">
        <v>52</v>
      </c>
    </row>
    <row r="18" spans="1:11" ht="12.75" thickBot="1">
      <c r="A18" s="11" t="s">
        <v>128</v>
      </c>
      <c r="B18" s="12">
        <v>339</v>
      </c>
      <c r="C18" s="13" t="s">
        <v>29</v>
      </c>
      <c r="D18" s="13" t="s">
        <v>54</v>
      </c>
      <c r="E18" s="13" t="s">
        <v>55</v>
      </c>
      <c r="F18" s="13" t="s">
        <v>56</v>
      </c>
      <c r="G18" s="13" t="s">
        <v>57</v>
      </c>
      <c r="H18" s="13" t="s">
        <v>58</v>
      </c>
      <c r="I18" s="13" t="s">
        <v>59</v>
      </c>
      <c r="J18" s="13" t="s">
        <v>51</v>
      </c>
      <c r="K18" s="13" t="s">
        <v>60</v>
      </c>
    </row>
    <row r="19" spans="1:11" ht="12.75" thickBot="1">
      <c r="A19" s="11" t="s">
        <v>53</v>
      </c>
      <c r="B19" s="12">
        <v>319</v>
      </c>
      <c r="C19" s="13" t="s">
        <v>29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51</v>
      </c>
      <c r="K19" s="13" t="s">
        <v>61</v>
      </c>
    </row>
    <row r="20" spans="1:11" ht="12.75" thickBot="1">
      <c r="A20" s="11" t="s">
        <v>62</v>
      </c>
      <c r="B20" s="12">
        <v>310</v>
      </c>
      <c r="C20" s="13" t="s">
        <v>29</v>
      </c>
      <c r="D20" s="13" t="s">
        <v>63</v>
      </c>
      <c r="E20" s="13" t="s">
        <v>64</v>
      </c>
      <c r="F20" s="13" t="s">
        <v>65</v>
      </c>
      <c r="G20" s="13" t="s">
        <v>66</v>
      </c>
      <c r="H20" s="13" t="s">
        <v>67</v>
      </c>
      <c r="I20" s="13" t="s">
        <v>35</v>
      </c>
      <c r="J20" s="13" t="s">
        <v>51</v>
      </c>
      <c r="K20" s="13" t="s">
        <v>68</v>
      </c>
    </row>
    <row r="21" spans="1:11" ht="12.75" thickBot="1">
      <c r="A21" s="11" t="s">
        <v>62</v>
      </c>
      <c r="B21" s="12">
        <v>310</v>
      </c>
      <c r="C21" s="13" t="s">
        <v>29</v>
      </c>
      <c r="D21" s="13" t="s">
        <v>63</v>
      </c>
      <c r="E21" s="13" t="s">
        <v>64</v>
      </c>
      <c r="F21" s="13" t="s">
        <v>65</v>
      </c>
      <c r="G21" s="13" t="s">
        <v>66</v>
      </c>
      <c r="H21" s="13" t="s">
        <v>67</v>
      </c>
      <c r="I21" s="13" t="s">
        <v>35</v>
      </c>
      <c r="J21" s="13" t="s">
        <v>51</v>
      </c>
      <c r="K21" s="13" t="s">
        <v>68</v>
      </c>
    </row>
    <row r="22" spans="1:11" ht="12.75" thickBot="1">
      <c r="A22" s="11" t="s">
        <v>69</v>
      </c>
      <c r="B22" s="12">
        <v>467</v>
      </c>
      <c r="C22" s="13" t="s">
        <v>70</v>
      </c>
      <c r="D22" s="13" t="s">
        <v>71</v>
      </c>
      <c r="E22" s="13" t="s">
        <v>72</v>
      </c>
      <c r="F22" s="13" t="s">
        <v>73</v>
      </c>
      <c r="G22" s="13" t="s">
        <v>74</v>
      </c>
      <c r="H22" s="13" t="s">
        <v>75</v>
      </c>
      <c r="I22" s="13" t="s">
        <v>76</v>
      </c>
      <c r="J22" s="13" t="s">
        <v>51</v>
      </c>
      <c r="K22" s="13" t="s">
        <v>77</v>
      </c>
    </row>
    <row r="23" spans="1:11" ht="12.75" thickBot="1">
      <c r="A23" s="11" t="s">
        <v>78</v>
      </c>
      <c r="B23" s="12">
        <v>90</v>
      </c>
      <c r="C23" s="13" t="s">
        <v>79</v>
      </c>
      <c r="D23" s="13" t="s">
        <v>80</v>
      </c>
      <c r="E23" s="13" t="s">
        <v>81</v>
      </c>
      <c r="F23" s="13" t="s">
        <v>15</v>
      </c>
      <c r="G23" s="13" t="s">
        <v>15</v>
      </c>
      <c r="H23" s="13" t="s">
        <v>82</v>
      </c>
      <c r="I23" s="13" t="s">
        <v>15</v>
      </c>
      <c r="J23" s="13" t="s">
        <v>15</v>
      </c>
      <c r="K23" s="13" t="s">
        <v>83</v>
      </c>
    </row>
    <row r="24" spans="1:11" ht="12.75" thickBot="1">
      <c r="A24" s="11" t="s">
        <v>78</v>
      </c>
      <c r="B24" s="12">
        <v>90</v>
      </c>
      <c r="C24" s="13" t="s">
        <v>79</v>
      </c>
      <c r="D24" s="13" t="s">
        <v>80</v>
      </c>
      <c r="E24" s="13" t="s">
        <v>81</v>
      </c>
      <c r="F24" s="13" t="s">
        <v>15</v>
      </c>
      <c r="G24" s="13" t="s">
        <v>15</v>
      </c>
      <c r="H24" s="13" t="s">
        <v>82</v>
      </c>
      <c r="I24" s="13" t="s">
        <v>15</v>
      </c>
      <c r="J24" s="13" t="s">
        <v>15</v>
      </c>
      <c r="K24" s="13" t="s">
        <v>83</v>
      </c>
    </row>
    <row r="25" spans="1:11" ht="12.75" thickBot="1">
      <c r="A25" s="11" t="s">
        <v>84</v>
      </c>
      <c r="B25" s="12">
        <v>100</v>
      </c>
      <c r="C25" s="13" t="s">
        <v>85</v>
      </c>
      <c r="D25" s="13" t="s">
        <v>86</v>
      </c>
      <c r="E25" s="13" t="s">
        <v>87</v>
      </c>
      <c r="F25" s="13" t="s">
        <v>15</v>
      </c>
      <c r="G25" s="13" t="s">
        <v>15</v>
      </c>
      <c r="H25" s="13" t="s">
        <v>88</v>
      </c>
      <c r="I25" s="13" t="s">
        <v>15</v>
      </c>
      <c r="J25" s="13" t="s">
        <v>15</v>
      </c>
      <c r="K25" s="13" t="s">
        <v>89</v>
      </c>
    </row>
    <row r="26" spans="1:11" ht="12.75" thickBot="1">
      <c r="A26" s="11" t="s">
        <v>84</v>
      </c>
      <c r="B26" s="12">
        <v>100</v>
      </c>
      <c r="C26" s="13" t="s">
        <v>85</v>
      </c>
      <c r="D26" s="13" t="s">
        <v>86</v>
      </c>
      <c r="E26" s="13" t="s">
        <v>87</v>
      </c>
      <c r="F26" s="13" t="s">
        <v>15</v>
      </c>
      <c r="G26" s="13" t="s">
        <v>15</v>
      </c>
      <c r="H26" s="13" t="s">
        <v>88</v>
      </c>
      <c r="I26" s="13" t="s">
        <v>15</v>
      </c>
      <c r="J26" s="13" t="s">
        <v>15</v>
      </c>
      <c r="K26" s="13" t="s">
        <v>89</v>
      </c>
    </row>
    <row r="27" spans="1:11" ht="12.75" thickBot="1">
      <c r="A27" s="11" t="s">
        <v>84</v>
      </c>
      <c r="B27" s="12">
        <v>100</v>
      </c>
      <c r="C27" s="13" t="s">
        <v>85</v>
      </c>
      <c r="D27" s="13" t="s">
        <v>86</v>
      </c>
      <c r="E27" s="13" t="s">
        <v>87</v>
      </c>
      <c r="F27" s="13" t="s">
        <v>15</v>
      </c>
      <c r="G27" s="13" t="s">
        <v>15</v>
      </c>
      <c r="H27" s="13" t="s">
        <v>88</v>
      </c>
      <c r="I27" s="13" t="s">
        <v>15</v>
      </c>
      <c r="J27" s="13" t="s">
        <v>15</v>
      </c>
      <c r="K27" s="13" t="s">
        <v>89</v>
      </c>
    </row>
    <row r="28" spans="1:11" ht="12.75" thickBot="1">
      <c r="A28" s="11" t="s">
        <v>84</v>
      </c>
      <c r="B28" s="12">
        <v>100</v>
      </c>
      <c r="C28" s="13" t="s">
        <v>85</v>
      </c>
      <c r="D28" s="13" t="s">
        <v>86</v>
      </c>
      <c r="E28" s="13" t="s">
        <v>87</v>
      </c>
      <c r="F28" s="13" t="s">
        <v>15</v>
      </c>
      <c r="G28" s="13" t="s">
        <v>15</v>
      </c>
      <c r="H28" s="13" t="s">
        <v>88</v>
      </c>
      <c r="I28" s="13" t="s">
        <v>15</v>
      </c>
      <c r="J28" s="13" t="s">
        <v>15</v>
      </c>
      <c r="K28" s="13" t="s">
        <v>89</v>
      </c>
    </row>
    <row r="29" spans="1:11" ht="12.75" thickBot="1">
      <c r="A29" s="11" t="s">
        <v>90</v>
      </c>
      <c r="B29" s="12">
        <v>26</v>
      </c>
      <c r="C29" s="13" t="s">
        <v>91</v>
      </c>
      <c r="D29" s="13" t="s">
        <v>71</v>
      </c>
      <c r="E29" s="13" t="s">
        <v>92</v>
      </c>
      <c r="F29" s="13" t="s">
        <v>15</v>
      </c>
      <c r="G29" s="13" t="s">
        <v>15</v>
      </c>
      <c r="H29" s="13" t="s">
        <v>15</v>
      </c>
      <c r="I29" s="13" t="s">
        <v>93</v>
      </c>
      <c r="J29" s="13" t="s">
        <v>41</v>
      </c>
      <c r="K29" s="13" t="s">
        <v>94</v>
      </c>
    </row>
    <row r="30" spans="1:11" ht="12.75" thickBot="1">
      <c r="A30" s="11" t="s">
        <v>95</v>
      </c>
      <c r="B30" s="12">
        <v>20</v>
      </c>
      <c r="C30" s="13" t="s">
        <v>96</v>
      </c>
      <c r="D30" s="13" t="s">
        <v>97</v>
      </c>
      <c r="E30" s="13" t="s">
        <v>98</v>
      </c>
      <c r="F30" s="13" t="s">
        <v>15</v>
      </c>
      <c r="G30" s="13" t="s">
        <v>15</v>
      </c>
      <c r="H30" s="13" t="s">
        <v>15</v>
      </c>
      <c r="I30" s="13" t="s">
        <v>99</v>
      </c>
      <c r="J30" s="13" t="s">
        <v>15</v>
      </c>
      <c r="K30" s="13" t="s">
        <v>100</v>
      </c>
    </row>
    <row r="31" spans="1:11" ht="12.75" thickBot="1">
      <c r="A31" s="11" t="s">
        <v>101</v>
      </c>
      <c r="B31" s="12">
        <v>139</v>
      </c>
      <c r="C31" s="13" t="s">
        <v>102</v>
      </c>
      <c r="D31" s="13" t="s">
        <v>103</v>
      </c>
      <c r="E31" s="13" t="s">
        <v>104</v>
      </c>
      <c r="F31" s="13" t="s">
        <v>15</v>
      </c>
      <c r="G31" s="13" t="s">
        <v>15</v>
      </c>
      <c r="H31" s="13" t="s">
        <v>15</v>
      </c>
      <c r="I31" s="13" t="s">
        <v>105</v>
      </c>
      <c r="J31" s="13" t="s">
        <v>51</v>
      </c>
      <c r="K31" s="13" t="s">
        <v>106</v>
      </c>
    </row>
    <row r="32" spans="1:11" ht="12.75" thickBot="1">
      <c r="A32" s="11" t="s">
        <v>107</v>
      </c>
      <c r="B32" s="12">
        <v>239</v>
      </c>
      <c r="C32" s="13" t="s">
        <v>108</v>
      </c>
      <c r="D32" s="13" t="s">
        <v>109</v>
      </c>
      <c r="E32" s="13" t="s">
        <v>110</v>
      </c>
      <c r="F32" s="13" t="s">
        <v>111</v>
      </c>
      <c r="G32" s="13" t="s">
        <v>74</v>
      </c>
      <c r="H32" s="13" t="s">
        <v>112</v>
      </c>
      <c r="I32" s="13" t="s">
        <v>113</v>
      </c>
      <c r="J32" s="13" t="s">
        <v>51</v>
      </c>
      <c r="K32" s="13" t="s">
        <v>114</v>
      </c>
    </row>
    <row r="33" spans="1:11" ht="12.75" thickBot="1">
      <c r="A33" s="11" t="s">
        <v>115</v>
      </c>
      <c r="B33" s="12">
        <v>200</v>
      </c>
      <c r="C33" s="13" t="s">
        <v>116</v>
      </c>
      <c r="D33" s="13" t="s">
        <v>117</v>
      </c>
      <c r="E33" s="13" t="s">
        <v>118</v>
      </c>
      <c r="F33" s="13" t="s">
        <v>15</v>
      </c>
      <c r="G33" s="13" t="s">
        <v>15</v>
      </c>
      <c r="H33" s="13" t="s">
        <v>15</v>
      </c>
      <c r="I33" s="13" t="s">
        <v>15</v>
      </c>
      <c r="J33" s="13" t="s">
        <v>119</v>
      </c>
      <c r="K33" s="13" t="s">
        <v>120</v>
      </c>
    </row>
    <row r="34" spans="1:11" ht="12.75" thickBot="1">
      <c r="A34" s="15" t="s">
        <v>121</v>
      </c>
      <c r="B34" s="16">
        <f>SUM(B5:B33)</f>
        <v>3587</v>
      </c>
      <c r="C34" s="17" t="s">
        <v>122</v>
      </c>
      <c r="D34" s="17" t="s">
        <v>122</v>
      </c>
      <c r="E34" s="17" t="s">
        <v>122</v>
      </c>
      <c r="F34" s="17" t="s">
        <v>123</v>
      </c>
      <c r="G34" s="17" t="s">
        <v>124</v>
      </c>
      <c r="H34" s="17" t="s">
        <v>125</v>
      </c>
      <c r="I34" s="17" t="s">
        <v>122</v>
      </c>
      <c r="J34" s="17" t="s">
        <v>122</v>
      </c>
      <c r="K34" s="17" t="s">
        <v>122</v>
      </c>
    </row>
  </sheetData>
  <mergeCells count="3">
    <mergeCell ref="B1:D2"/>
    <mergeCell ref="E1:F2"/>
    <mergeCell ref="G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C964-14C4-4CCB-9DBE-CE4868359B2C}">
  <dimension ref="A1:AJ404"/>
  <sheetViews>
    <sheetView tabSelected="1" workbookViewId="0">
      <selection activeCell="H4" sqref="H4"/>
    </sheetView>
  </sheetViews>
  <sheetFormatPr defaultRowHeight="15"/>
  <cols>
    <col min="6" max="6" width="10.140625" bestFit="1" customWidth="1"/>
  </cols>
  <sheetData>
    <row r="1" spans="1:36" ht="15.75" thickBo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ht="15" customHeight="1">
      <c r="A2" s="82"/>
      <c r="B2" s="95" t="s">
        <v>163</v>
      </c>
      <c r="C2" s="96"/>
      <c r="D2" s="96"/>
      <c r="E2" s="96"/>
      <c r="F2" s="96"/>
      <c r="G2" s="96"/>
      <c r="H2" s="96"/>
      <c r="I2" s="82"/>
      <c r="J2" s="83" t="s">
        <v>126</v>
      </c>
      <c r="K2" s="84"/>
      <c r="L2" s="84"/>
      <c r="M2" s="85"/>
      <c r="N2" s="82"/>
      <c r="O2" s="89" t="s">
        <v>127</v>
      </c>
      <c r="P2" s="90"/>
      <c r="Q2" s="90"/>
      <c r="R2" s="91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36" ht="15.75" thickBot="1">
      <c r="A3" s="82"/>
      <c r="B3" s="96"/>
      <c r="C3" s="96"/>
      <c r="D3" s="96"/>
      <c r="E3" s="96"/>
      <c r="F3" s="96"/>
      <c r="G3" s="96"/>
      <c r="H3" s="96"/>
      <c r="I3" s="82"/>
      <c r="J3" s="86"/>
      <c r="K3" s="87"/>
      <c r="L3" s="87"/>
      <c r="M3" s="88"/>
      <c r="N3" s="82"/>
      <c r="O3" s="92"/>
      <c r="P3" s="93"/>
      <c r="Q3" s="93"/>
      <c r="R3" s="94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</row>
    <row r="4" spans="1:36" ht="15.75" thickBo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</row>
    <row r="5" spans="1:36" ht="15.75" thickBot="1">
      <c r="A5" s="79" t="s">
        <v>0</v>
      </c>
      <c r="B5" s="80"/>
      <c r="C5" s="80"/>
      <c r="D5" s="80"/>
      <c r="E5" s="81"/>
      <c r="F5" s="18" t="s">
        <v>1</v>
      </c>
      <c r="G5" s="79" t="s">
        <v>2</v>
      </c>
      <c r="H5" s="81"/>
      <c r="I5" s="18" t="s">
        <v>3</v>
      </c>
      <c r="J5" s="79" t="s">
        <v>4</v>
      </c>
      <c r="K5" s="81"/>
      <c r="L5" s="79" t="s">
        <v>5</v>
      </c>
      <c r="M5" s="80"/>
      <c r="N5" s="81"/>
      <c r="O5" s="18" t="s">
        <v>6</v>
      </c>
      <c r="P5" s="79" t="s">
        <v>7</v>
      </c>
      <c r="Q5" s="81"/>
      <c r="R5" s="76" t="s">
        <v>8</v>
      </c>
      <c r="S5" s="77"/>
      <c r="T5" s="76" t="s">
        <v>9</v>
      </c>
      <c r="U5" s="77"/>
      <c r="V5" s="76" t="s">
        <v>10</v>
      </c>
      <c r="W5" s="78"/>
      <c r="X5" s="78"/>
      <c r="Y5" s="77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</row>
    <row r="6" spans="1:36" ht="15.75" thickBot="1">
      <c r="A6" s="71" t="s">
        <v>11</v>
      </c>
      <c r="B6" s="72"/>
      <c r="C6" s="72"/>
      <c r="D6" s="72"/>
      <c r="E6" s="73"/>
      <c r="F6" s="19">
        <v>128</v>
      </c>
      <c r="G6" s="66" t="s">
        <v>129</v>
      </c>
      <c r="H6" s="67"/>
      <c r="I6" s="20" t="s">
        <v>13</v>
      </c>
      <c r="J6" s="75" t="s">
        <v>14</v>
      </c>
      <c r="K6" s="67"/>
      <c r="L6" s="66" t="s">
        <v>15</v>
      </c>
      <c r="M6" s="74"/>
      <c r="N6" s="67"/>
      <c r="O6" s="20" t="s">
        <v>15</v>
      </c>
      <c r="P6" s="66" t="s">
        <v>15</v>
      </c>
      <c r="Q6" s="67"/>
      <c r="R6" s="66" t="s">
        <v>15</v>
      </c>
      <c r="S6" s="67"/>
      <c r="T6" s="66" t="s">
        <v>16</v>
      </c>
      <c r="U6" s="67"/>
      <c r="V6" s="68" t="s">
        <v>130</v>
      </c>
      <c r="W6" s="69"/>
      <c r="X6" s="69"/>
      <c r="Y6" s="70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</row>
    <row r="7" spans="1:36" ht="15.75" thickBot="1">
      <c r="A7" s="71" t="s">
        <v>18</v>
      </c>
      <c r="B7" s="72"/>
      <c r="C7" s="72"/>
      <c r="D7" s="72"/>
      <c r="E7" s="73"/>
      <c r="F7" s="19">
        <v>22</v>
      </c>
      <c r="G7" s="66" t="s">
        <v>19</v>
      </c>
      <c r="H7" s="67"/>
      <c r="I7" s="20" t="s">
        <v>20</v>
      </c>
      <c r="J7" s="75" t="s">
        <v>21</v>
      </c>
      <c r="K7" s="67"/>
      <c r="L7" s="66" t="s">
        <v>15</v>
      </c>
      <c r="M7" s="74"/>
      <c r="N7" s="67"/>
      <c r="O7" s="20" t="s">
        <v>15</v>
      </c>
      <c r="P7" s="66" t="s">
        <v>15</v>
      </c>
      <c r="Q7" s="67"/>
      <c r="R7" s="66" t="s">
        <v>15</v>
      </c>
      <c r="S7" s="67"/>
      <c r="T7" s="66" t="s">
        <v>15</v>
      </c>
      <c r="U7" s="67"/>
      <c r="V7" s="68" t="s">
        <v>22</v>
      </c>
      <c r="W7" s="69"/>
      <c r="X7" s="69"/>
      <c r="Y7" s="70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</row>
    <row r="8" spans="1:36" ht="15.75" thickBot="1">
      <c r="A8" s="71" t="s">
        <v>18</v>
      </c>
      <c r="B8" s="72"/>
      <c r="C8" s="72"/>
      <c r="D8" s="72"/>
      <c r="E8" s="73"/>
      <c r="F8" s="19">
        <v>22</v>
      </c>
      <c r="G8" s="66" t="s">
        <v>19</v>
      </c>
      <c r="H8" s="67"/>
      <c r="I8" s="20" t="s">
        <v>20</v>
      </c>
      <c r="J8" s="75" t="s">
        <v>21</v>
      </c>
      <c r="K8" s="67"/>
      <c r="L8" s="66" t="s">
        <v>15</v>
      </c>
      <c r="M8" s="74"/>
      <c r="N8" s="67"/>
      <c r="O8" s="20" t="s">
        <v>15</v>
      </c>
      <c r="P8" s="66" t="s">
        <v>15</v>
      </c>
      <c r="Q8" s="67"/>
      <c r="R8" s="66" t="s">
        <v>15</v>
      </c>
      <c r="S8" s="67"/>
      <c r="T8" s="66" t="s">
        <v>15</v>
      </c>
      <c r="U8" s="67"/>
      <c r="V8" s="68" t="s">
        <v>22</v>
      </c>
      <c r="W8" s="69"/>
      <c r="X8" s="69"/>
      <c r="Y8" s="70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</row>
    <row r="9" spans="1:36" ht="15.75" thickBot="1">
      <c r="A9" s="71" t="s">
        <v>18</v>
      </c>
      <c r="B9" s="72"/>
      <c r="C9" s="72"/>
      <c r="D9" s="72"/>
      <c r="E9" s="73"/>
      <c r="F9" s="19">
        <v>22</v>
      </c>
      <c r="G9" s="66" t="s">
        <v>19</v>
      </c>
      <c r="H9" s="67"/>
      <c r="I9" s="20" t="s">
        <v>20</v>
      </c>
      <c r="J9" s="75" t="s">
        <v>21</v>
      </c>
      <c r="K9" s="67"/>
      <c r="L9" s="66" t="s">
        <v>15</v>
      </c>
      <c r="M9" s="74"/>
      <c r="N9" s="67"/>
      <c r="O9" s="20" t="s">
        <v>15</v>
      </c>
      <c r="P9" s="66" t="s">
        <v>15</v>
      </c>
      <c r="Q9" s="67"/>
      <c r="R9" s="66" t="s">
        <v>15</v>
      </c>
      <c r="S9" s="67"/>
      <c r="T9" s="66" t="s">
        <v>15</v>
      </c>
      <c r="U9" s="67"/>
      <c r="V9" s="68" t="s">
        <v>22</v>
      </c>
      <c r="W9" s="69"/>
      <c r="X9" s="69"/>
      <c r="Y9" s="70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</row>
    <row r="10" spans="1:36" ht="15.75" thickBot="1">
      <c r="A10" s="71" t="s">
        <v>18</v>
      </c>
      <c r="B10" s="72"/>
      <c r="C10" s="72"/>
      <c r="D10" s="72"/>
      <c r="E10" s="73"/>
      <c r="F10" s="19">
        <v>22</v>
      </c>
      <c r="G10" s="66" t="s">
        <v>19</v>
      </c>
      <c r="H10" s="67"/>
      <c r="I10" s="20" t="s">
        <v>20</v>
      </c>
      <c r="J10" s="75" t="s">
        <v>21</v>
      </c>
      <c r="K10" s="67"/>
      <c r="L10" s="66" t="s">
        <v>15</v>
      </c>
      <c r="M10" s="74"/>
      <c r="N10" s="67"/>
      <c r="O10" s="20" t="s">
        <v>15</v>
      </c>
      <c r="P10" s="66" t="s">
        <v>15</v>
      </c>
      <c r="Q10" s="67"/>
      <c r="R10" s="66" t="s">
        <v>15</v>
      </c>
      <c r="S10" s="67"/>
      <c r="T10" s="66" t="s">
        <v>15</v>
      </c>
      <c r="U10" s="67"/>
      <c r="V10" s="68" t="s">
        <v>22</v>
      </c>
      <c r="W10" s="69"/>
      <c r="X10" s="69"/>
      <c r="Y10" s="70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</row>
    <row r="11" spans="1:36" ht="15.75" thickBot="1">
      <c r="A11" s="71" t="s">
        <v>18</v>
      </c>
      <c r="B11" s="72"/>
      <c r="C11" s="72"/>
      <c r="D11" s="72"/>
      <c r="E11" s="73"/>
      <c r="F11" s="19">
        <v>22</v>
      </c>
      <c r="G11" s="66" t="s">
        <v>19</v>
      </c>
      <c r="H11" s="67"/>
      <c r="I11" s="20" t="s">
        <v>20</v>
      </c>
      <c r="J11" s="75" t="s">
        <v>21</v>
      </c>
      <c r="K11" s="67"/>
      <c r="L11" s="66" t="s">
        <v>15</v>
      </c>
      <c r="M11" s="74"/>
      <c r="N11" s="67"/>
      <c r="O11" s="20" t="s">
        <v>15</v>
      </c>
      <c r="P11" s="66" t="s">
        <v>15</v>
      </c>
      <c r="Q11" s="67"/>
      <c r="R11" s="66" t="s">
        <v>15</v>
      </c>
      <c r="S11" s="67"/>
      <c r="T11" s="66" t="s">
        <v>15</v>
      </c>
      <c r="U11" s="67"/>
      <c r="V11" s="68" t="s">
        <v>22</v>
      </c>
      <c r="W11" s="69"/>
      <c r="X11" s="69"/>
      <c r="Y11" s="70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</row>
    <row r="12" spans="1:36" ht="15.75" thickBot="1">
      <c r="A12" s="71" t="s">
        <v>18</v>
      </c>
      <c r="B12" s="72"/>
      <c r="C12" s="72"/>
      <c r="D12" s="72"/>
      <c r="E12" s="73"/>
      <c r="F12" s="19">
        <v>22</v>
      </c>
      <c r="G12" s="66" t="s">
        <v>19</v>
      </c>
      <c r="H12" s="67"/>
      <c r="I12" s="20" t="s">
        <v>20</v>
      </c>
      <c r="J12" s="75" t="s">
        <v>21</v>
      </c>
      <c r="K12" s="67"/>
      <c r="L12" s="66" t="s">
        <v>15</v>
      </c>
      <c r="M12" s="74"/>
      <c r="N12" s="67"/>
      <c r="O12" s="20" t="s">
        <v>15</v>
      </c>
      <c r="P12" s="66" t="s">
        <v>15</v>
      </c>
      <c r="Q12" s="67"/>
      <c r="R12" s="66" t="s">
        <v>15</v>
      </c>
      <c r="S12" s="67"/>
      <c r="T12" s="66" t="s">
        <v>15</v>
      </c>
      <c r="U12" s="67"/>
      <c r="V12" s="68" t="s">
        <v>22</v>
      </c>
      <c r="W12" s="69"/>
      <c r="X12" s="69"/>
      <c r="Y12" s="70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</row>
    <row r="13" spans="1:36" ht="15.75" thickBot="1">
      <c r="A13" s="71" t="s">
        <v>18</v>
      </c>
      <c r="B13" s="72"/>
      <c r="C13" s="72"/>
      <c r="D13" s="72"/>
      <c r="E13" s="73"/>
      <c r="F13" s="19">
        <v>22</v>
      </c>
      <c r="G13" s="66" t="s">
        <v>19</v>
      </c>
      <c r="H13" s="67"/>
      <c r="I13" s="20" t="s">
        <v>20</v>
      </c>
      <c r="J13" s="75" t="s">
        <v>21</v>
      </c>
      <c r="K13" s="67"/>
      <c r="L13" s="66" t="s">
        <v>15</v>
      </c>
      <c r="M13" s="74"/>
      <c r="N13" s="67"/>
      <c r="O13" s="20" t="s">
        <v>15</v>
      </c>
      <c r="P13" s="66" t="s">
        <v>15</v>
      </c>
      <c r="Q13" s="67"/>
      <c r="R13" s="66" t="s">
        <v>15</v>
      </c>
      <c r="S13" s="67"/>
      <c r="T13" s="66" t="s">
        <v>15</v>
      </c>
      <c r="U13" s="67"/>
      <c r="V13" s="68" t="s">
        <v>22</v>
      </c>
      <c r="W13" s="69"/>
      <c r="X13" s="69"/>
      <c r="Y13" s="70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</row>
    <row r="14" spans="1:36" ht="15.75" thickBot="1">
      <c r="A14" s="71" t="s">
        <v>23</v>
      </c>
      <c r="B14" s="72"/>
      <c r="C14" s="72"/>
      <c r="D14" s="72"/>
      <c r="E14" s="73"/>
      <c r="F14" s="19">
        <v>29</v>
      </c>
      <c r="G14" s="66" t="s">
        <v>131</v>
      </c>
      <c r="H14" s="67"/>
      <c r="I14" s="20" t="s">
        <v>132</v>
      </c>
      <c r="J14" s="66" t="s">
        <v>26</v>
      </c>
      <c r="K14" s="67"/>
      <c r="L14" s="66" t="s">
        <v>15</v>
      </c>
      <c r="M14" s="74"/>
      <c r="N14" s="67"/>
      <c r="O14" s="20" t="s">
        <v>15</v>
      </c>
      <c r="P14" s="66" t="s">
        <v>15</v>
      </c>
      <c r="Q14" s="67"/>
      <c r="R14" s="66" t="s">
        <v>15</v>
      </c>
      <c r="S14" s="67"/>
      <c r="T14" s="66" t="s">
        <v>16</v>
      </c>
      <c r="U14" s="67"/>
      <c r="V14" s="68" t="s">
        <v>27</v>
      </c>
      <c r="W14" s="69"/>
      <c r="X14" s="69"/>
      <c r="Y14" s="70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</row>
    <row r="15" spans="1:36" ht="30.75" customHeight="1" thickBot="1">
      <c r="A15" s="55" t="s">
        <v>28</v>
      </c>
      <c r="B15" s="56"/>
      <c r="C15" s="56"/>
      <c r="D15" s="56"/>
      <c r="E15" s="57"/>
      <c r="F15" s="21">
        <v>130</v>
      </c>
      <c r="G15" s="50" t="s">
        <v>29</v>
      </c>
      <c r="H15" s="51"/>
      <c r="I15" s="22" t="s">
        <v>133</v>
      </c>
      <c r="J15" s="50" t="s">
        <v>31</v>
      </c>
      <c r="K15" s="51"/>
      <c r="L15" s="59" t="s">
        <v>134</v>
      </c>
      <c r="M15" s="60"/>
      <c r="N15" s="61"/>
      <c r="O15" s="22" t="s">
        <v>33</v>
      </c>
      <c r="P15" s="50" t="s">
        <v>34</v>
      </c>
      <c r="Q15" s="51"/>
      <c r="R15" s="59" t="s">
        <v>135</v>
      </c>
      <c r="S15" s="51"/>
      <c r="T15" s="50" t="s">
        <v>16</v>
      </c>
      <c r="U15" s="51"/>
      <c r="V15" s="63" t="s">
        <v>36</v>
      </c>
      <c r="W15" s="64"/>
      <c r="X15" s="64"/>
      <c r="Y15" s="65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</row>
    <row r="16" spans="1:36" ht="15.75" customHeight="1" thickBot="1">
      <c r="A16" s="55" t="s">
        <v>37</v>
      </c>
      <c r="B16" s="56"/>
      <c r="C16" s="56"/>
      <c r="D16" s="56"/>
      <c r="E16" s="57"/>
      <c r="F16" s="21">
        <v>70</v>
      </c>
      <c r="G16" s="50" t="s">
        <v>136</v>
      </c>
      <c r="H16" s="51"/>
      <c r="I16" s="22" t="s">
        <v>39</v>
      </c>
      <c r="J16" s="50" t="s">
        <v>40</v>
      </c>
      <c r="K16" s="51"/>
      <c r="L16" s="50" t="s">
        <v>15</v>
      </c>
      <c r="M16" s="58"/>
      <c r="N16" s="51"/>
      <c r="O16" s="22" t="s">
        <v>15</v>
      </c>
      <c r="P16" s="62" t="s">
        <v>15</v>
      </c>
      <c r="Q16" s="51"/>
      <c r="R16" s="50" t="s">
        <v>15</v>
      </c>
      <c r="S16" s="51"/>
      <c r="T16" s="50" t="s">
        <v>51</v>
      </c>
      <c r="U16" s="51"/>
      <c r="V16" s="63" t="s">
        <v>42</v>
      </c>
      <c r="W16" s="64"/>
      <c r="X16" s="64"/>
      <c r="Y16" s="65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</row>
    <row r="17" spans="1:36" ht="15.75" thickBot="1">
      <c r="A17" s="55" t="s">
        <v>43</v>
      </c>
      <c r="B17" s="56"/>
      <c r="C17" s="56"/>
      <c r="D17" s="56"/>
      <c r="E17" s="57"/>
      <c r="F17" s="21">
        <v>37</v>
      </c>
      <c r="G17" s="50" t="s">
        <v>137</v>
      </c>
      <c r="H17" s="51"/>
      <c r="I17" s="22" t="s">
        <v>45</v>
      </c>
      <c r="J17" s="50" t="s">
        <v>46</v>
      </c>
      <c r="K17" s="51"/>
      <c r="L17" s="50" t="s">
        <v>15</v>
      </c>
      <c r="M17" s="58"/>
      <c r="N17" s="51"/>
      <c r="O17" s="22" t="s">
        <v>15</v>
      </c>
      <c r="P17" s="62" t="s">
        <v>15</v>
      </c>
      <c r="Q17" s="51"/>
      <c r="R17" s="50" t="s">
        <v>15</v>
      </c>
      <c r="S17" s="51"/>
      <c r="T17" s="50" t="s">
        <v>41</v>
      </c>
      <c r="U17" s="51"/>
      <c r="V17" s="52" t="s">
        <v>47</v>
      </c>
      <c r="W17" s="53"/>
      <c r="X17" s="53"/>
      <c r="Y17" s="54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</row>
    <row r="18" spans="1:36" ht="15.75" thickBot="1">
      <c r="A18" s="55" t="s">
        <v>48</v>
      </c>
      <c r="B18" s="56"/>
      <c r="C18" s="56"/>
      <c r="D18" s="56"/>
      <c r="E18" s="57"/>
      <c r="F18" s="21">
        <v>90</v>
      </c>
      <c r="G18" s="50" t="s">
        <v>136</v>
      </c>
      <c r="H18" s="51"/>
      <c r="I18" s="22" t="s">
        <v>49</v>
      </c>
      <c r="J18" s="50" t="s">
        <v>50</v>
      </c>
      <c r="K18" s="51"/>
      <c r="L18" s="50" t="s">
        <v>15</v>
      </c>
      <c r="M18" s="58"/>
      <c r="N18" s="51"/>
      <c r="O18" s="22" t="s">
        <v>15</v>
      </c>
      <c r="P18" s="62" t="s">
        <v>15</v>
      </c>
      <c r="Q18" s="51"/>
      <c r="R18" s="50" t="s">
        <v>15</v>
      </c>
      <c r="S18" s="51"/>
      <c r="T18" s="50" t="s">
        <v>51</v>
      </c>
      <c r="U18" s="51"/>
      <c r="V18" s="52" t="s">
        <v>138</v>
      </c>
      <c r="W18" s="53"/>
      <c r="X18" s="53"/>
      <c r="Y18" s="54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</row>
    <row r="19" spans="1:36" ht="30.75" customHeight="1" thickBot="1">
      <c r="A19" s="55" t="s">
        <v>139</v>
      </c>
      <c r="B19" s="56"/>
      <c r="C19" s="56"/>
      <c r="D19" s="56"/>
      <c r="E19" s="57"/>
      <c r="F19" s="21">
        <v>319</v>
      </c>
      <c r="G19" s="50" t="s">
        <v>29</v>
      </c>
      <c r="H19" s="51"/>
      <c r="I19" s="23" t="s">
        <v>54</v>
      </c>
      <c r="J19" s="50" t="s">
        <v>140</v>
      </c>
      <c r="K19" s="51"/>
      <c r="L19" s="59" t="s">
        <v>141</v>
      </c>
      <c r="M19" s="58"/>
      <c r="N19" s="51"/>
      <c r="O19" s="23" t="s">
        <v>142</v>
      </c>
      <c r="P19" s="50" t="s">
        <v>143</v>
      </c>
      <c r="Q19" s="51"/>
      <c r="R19" s="59" t="s">
        <v>144</v>
      </c>
      <c r="S19" s="51"/>
      <c r="T19" s="50" t="s">
        <v>51</v>
      </c>
      <c r="U19" s="51"/>
      <c r="V19" s="52" t="s">
        <v>60</v>
      </c>
      <c r="W19" s="53"/>
      <c r="X19" s="53"/>
      <c r="Y19" s="54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</row>
    <row r="20" spans="1:36" ht="30.75" customHeight="1" thickBot="1">
      <c r="A20" s="55" t="s">
        <v>145</v>
      </c>
      <c r="B20" s="56"/>
      <c r="C20" s="56"/>
      <c r="D20" s="56"/>
      <c r="E20" s="57"/>
      <c r="F20" s="21">
        <v>339</v>
      </c>
      <c r="G20" s="50" t="s">
        <v>29</v>
      </c>
      <c r="H20" s="51"/>
      <c r="I20" s="23" t="s">
        <v>54</v>
      </c>
      <c r="J20" s="50" t="s">
        <v>55</v>
      </c>
      <c r="K20" s="51"/>
      <c r="L20" s="59" t="s">
        <v>146</v>
      </c>
      <c r="M20" s="58"/>
      <c r="N20" s="51"/>
      <c r="O20" s="23" t="s">
        <v>147</v>
      </c>
      <c r="P20" s="50" t="s">
        <v>148</v>
      </c>
      <c r="Q20" s="51"/>
      <c r="R20" s="59" t="s">
        <v>144</v>
      </c>
      <c r="S20" s="51"/>
      <c r="T20" s="50" t="s">
        <v>51</v>
      </c>
      <c r="U20" s="51"/>
      <c r="V20" s="63" t="s">
        <v>149</v>
      </c>
      <c r="W20" s="64"/>
      <c r="X20" s="64"/>
      <c r="Y20" s="65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</row>
    <row r="21" spans="1:36" ht="30.75" customHeight="1" thickBot="1">
      <c r="A21" s="55" t="s">
        <v>62</v>
      </c>
      <c r="B21" s="56"/>
      <c r="C21" s="56"/>
      <c r="D21" s="56"/>
      <c r="E21" s="57"/>
      <c r="F21" s="21">
        <v>310</v>
      </c>
      <c r="G21" s="50" t="s">
        <v>29</v>
      </c>
      <c r="H21" s="51"/>
      <c r="I21" s="22" t="s">
        <v>63</v>
      </c>
      <c r="J21" s="50" t="s">
        <v>64</v>
      </c>
      <c r="K21" s="51"/>
      <c r="L21" s="50" t="s">
        <v>65</v>
      </c>
      <c r="M21" s="58"/>
      <c r="N21" s="51"/>
      <c r="O21" s="22" t="s">
        <v>66</v>
      </c>
      <c r="P21" s="50" t="s">
        <v>67</v>
      </c>
      <c r="Q21" s="51"/>
      <c r="R21" s="59" t="s">
        <v>135</v>
      </c>
      <c r="S21" s="51"/>
      <c r="T21" s="50" t="s">
        <v>51</v>
      </c>
      <c r="U21" s="51"/>
      <c r="V21" s="52" t="s">
        <v>150</v>
      </c>
      <c r="W21" s="53"/>
      <c r="X21" s="53"/>
      <c r="Y21" s="54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</row>
    <row r="22" spans="1:36" ht="30.75" customHeight="1" thickBot="1">
      <c r="A22" s="55" t="s">
        <v>62</v>
      </c>
      <c r="B22" s="56"/>
      <c r="C22" s="56"/>
      <c r="D22" s="56"/>
      <c r="E22" s="57"/>
      <c r="F22" s="21">
        <v>310</v>
      </c>
      <c r="G22" s="50" t="s">
        <v>29</v>
      </c>
      <c r="H22" s="51"/>
      <c r="I22" s="22" t="s">
        <v>63</v>
      </c>
      <c r="J22" s="50" t="s">
        <v>64</v>
      </c>
      <c r="K22" s="51"/>
      <c r="L22" s="50" t="s">
        <v>65</v>
      </c>
      <c r="M22" s="58"/>
      <c r="N22" s="51"/>
      <c r="O22" s="22" t="s">
        <v>66</v>
      </c>
      <c r="P22" s="50" t="s">
        <v>67</v>
      </c>
      <c r="Q22" s="51"/>
      <c r="R22" s="59" t="s">
        <v>135</v>
      </c>
      <c r="S22" s="51"/>
      <c r="T22" s="50" t="s">
        <v>51</v>
      </c>
      <c r="U22" s="51"/>
      <c r="V22" s="52" t="s">
        <v>150</v>
      </c>
      <c r="W22" s="53"/>
      <c r="X22" s="53"/>
      <c r="Y22" s="54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</row>
    <row r="23" spans="1:36" ht="15.75" thickBot="1">
      <c r="A23" s="55" t="s">
        <v>69</v>
      </c>
      <c r="B23" s="56"/>
      <c r="C23" s="56"/>
      <c r="D23" s="56"/>
      <c r="E23" s="57"/>
      <c r="F23" s="21">
        <v>467</v>
      </c>
      <c r="G23" s="50" t="s">
        <v>70</v>
      </c>
      <c r="H23" s="51"/>
      <c r="I23" s="22" t="s">
        <v>71</v>
      </c>
      <c r="J23" s="62" t="s">
        <v>72</v>
      </c>
      <c r="K23" s="51"/>
      <c r="L23" s="50" t="s">
        <v>73</v>
      </c>
      <c r="M23" s="58"/>
      <c r="N23" s="51"/>
      <c r="O23" s="22" t="s">
        <v>74</v>
      </c>
      <c r="P23" s="50" t="s">
        <v>75</v>
      </c>
      <c r="Q23" s="51"/>
      <c r="R23" s="50" t="s">
        <v>76</v>
      </c>
      <c r="S23" s="51"/>
      <c r="T23" s="50" t="s">
        <v>51</v>
      </c>
      <c r="U23" s="51"/>
      <c r="V23" s="52" t="s">
        <v>77</v>
      </c>
      <c r="W23" s="53"/>
      <c r="X23" s="53"/>
      <c r="Y23" s="54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</row>
    <row r="24" spans="1:36" ht="15.75" thickBot="1">
      <c r="A24" s="55" t="s">
        <v>78</v>
      </c>
      <c r="B24" s="56"/>
      <c r="C24" s="56"/>
      <c r="D24" s="56"/>
      <c r="E24" s="57"/>
      <c r="F24" s="21">
        <v>90</v>
      </c>
      <c r="G24" s="50" t="s">
        <v>151</v>
      </c>
      <c r="H24" s="51"/>
      <c r="I24" s="22" t="s">
        <v>80</v>
      </c>
      <c r="J24" s="50" t="s">
        <v>81</v>
      </c>
      <c r="K24" s="51"/>
      <c r="L24" s="50" t="s">
        <v>15</v>
      </c>
      <c r="M24" s="58"/>
      <c r="N24" s="51"/>
      <c r="O24" s="22" t="s">
        <v>15</v>
      </c>
      <c r="P24" s="50" t="s">
        <v>82</v>
      </c>
      <c r="Q24" s="51"/>
      <c r="R24" s="50" t="s">
        <v>15</v>
      </c>
      <c r="S24" s="51"/>
      <c r="T24" s="50" t="s">
        <v>15</v>
      </c>
      <c r="U24" s="51"/>
      <c r="V24" s="52" t="s">
        <v>152</v>
      </c>
      <c r="W24" s="53"/>
      <c r="X24" s="53"/>
      <c r="Y24" s="54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</row>
    <row r="25" spans="1:36" ht="15.75" thickBot="1">
      <c r="A25" s="55" t="s">
        <v>78</v>
      </c>
      <c r="B25" s="56"/>
      <c r="C25" s="56"/>
      <c r="D25" s="56"/>
      <c r="E25" s="57"/>
      <c r="F25" s="21">
        <v>90</v>
      </c>
      <c r="G25" s="50" t="s">
        <v>151</v>
      </c>
      <c r="H25" s="51"/>
      <c r="I25" s="22" t="s">
        <v>80</v>
      </c>
      <c r="J25" s="50" t="s">
        <v>81</v>
      </c>
      <c r="K25" s="51"/>
      <c r="L25" s="50" t="s">
        <v>15</v>
      </c>
      <c r="M25" s="58"/>
      <c r="N25" s="51"/>
      <c r="O25" s="22" t="s">
        <v>15</v>
      </c>
      <c r="P25" s="50" t="s">
        <v>82</v>
      </c>
      <c r="Q25" s="51"/>
      <c r="R25" s="50" t="s">
        <v>15</v>
      </c>
      <c r="S25" s="51"/>
      <c r="T25" s="50" t="s">
        <v>15</v>
      </c>
      <c r="U25" s="51"/>
      <c r="V25" s="52" t="s">
        <v>152</v>
      </c>
      <c r="W25" s="53"/>
      <c r="X25" s="53"/>
      <c r="Y25" s="54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</row>
    <row r="26" spans="1:36" ht="26.25" thickBot="1">
      <c r="A26" s="55" t="s">
        <v>84</v>
      </c>
      <c r="B26" s="56"/>
      <c r="C26" s="56"/>
      <c r="D26" s="56"/>
      <c r="E26" s="57"/>
      <c r="F26" s="21">
        <v>100</v>
      </c>
      <c r="G26" s="50" t="s">
        <v>85</v>
      </c>
      <c r="H26" s="51"/>
      <c r="I26" s="22" t="s">
        <v>86</v>
      </c>
      <c r="J26" s="50" t="s">
        <v>87</v>
      </c>
      <c r="K26" s="51"/>
      <c r="L26" s="50" t="s">
        <v>15</v>
      </c>
      <c r="M26" s="58"/>
      <c r="N26" s="51"/>
      <c r="O26" s="22" t="s">
        <v>15</v>
      </c>
      <c r="P26" s="50" t="s">
        <v>88</v>
      </c>
      <c r="Q26" s="51"/>
      <c r="R26" s="50" t="s">
        <v>15</v>
      </c>
      <c r="S26" s="51"/>
      <c r="T26" s="50" t="s">
        <v>15</v>
      </c>
      <c r="U26" s="51"/>
      <c r="V26" s="52" t="s">
        <v>89</v>
      </c>
      <c r="W26" s="53"/>
      <c r="X26" s="53"/>
      <c r="Y26" s="54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</row>
    <row r="27" spans="1:36" ht="26.25" thickBot="1">
      <c r="A27" s="55" t="s">
        <v>84</v>
      </c>
      <c r="B27" s="56"/>
      <c r="C27" s="56"/>
      <c r="D27" s="56"/>
      <c r="E27" s="57"/>
      <c r="F27" s="21">
        <v>100</v>
      </c>
      <c r="G27" s="50" t="s">
        <v>85</v>
      </c>
      <c r="H27" s="51"/>
      <c r="I27" s="22" t="s">
        <v>86</v>
      </c>
      <c r="J27" s="50" t="s">
        <v>87</v>
      </c>
      <c r="K27" s="51"/>
      <c r="L27" s="50" t="s">
        <v>15</v>
      </c>
      <c r="M27" s="58"/>
      <c r="N27" s="51"/>
      <c r="O27" s="22" t="s">
        <v>15</v>
      </c>
      <c r="P27" s="50" t="s">
        <v>88</v>
      </c>
      <c r="Q27" s="51"/>
      <c r="R27" s="50" t="s">
        <v>15</v>
      </c>
      <c r="S27" s="51"/>
      <c r="T27" s="50" t="s">
        <v>15</v>
      </c>
      <c r="U27" s="51"/>
      <c r="V27" s="52" t="s">
        <v>89</v>
      </c>
      <c r="W27" s="53"/>
      <c r="X27" s="53"/>
      <c r="Y27" s="54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</row>
    <row r="28" spans="1:36" ht="26.25" thickBot="1">
      <c r="A28" s="55" t="s">
        <v>84</v>
      </c>
      <c r="B28" s="56"/>
      <c r="C28" s="56"/>
      <c r="D28" s="56"/>
      <c r="E28" s="57"/>
      <c r="F28" s="21">
        <v>100</v>
      </c>
      <c r="G28" s="50" t="s">
        <v>85</v>
      </c>
      <c r="H28" s="51"/>
      <c r="I28" s="22" t="s">
        <v>86</v>
      </c>
      <c r="J28" s="50" t="s">
        <v>87</v>
      </c>
      <c r="K28" s="51"/>
      <c r="L28" s="50" t="s">
        <v>15</v>
      </c>
      <c r="M28" s="58"/>
      <c r="N28" s="51"/>
      <c r="O28" s="22" t="s">
        <v>15</v>
      </c>
      <c r="P28" s="50" t="s">
        <v>88</v>
      </c>
      <c r="Q28" s="51"/>
      <c r="R28" s="50" t="s">
        <v>15</v>
      </c>
      <c r="S28" s="51"/>
      <c r="T28" s="50" t="s">
        <v>15</v>
      </c>
      <c r="U28" s="51"/>
      <c r="V28" s="52" t="s">
        <v>89</v>
      </c>
      <c r="W28" s="53"/>
      <c r="X28" s="53"/>
      <c r="Y28" s="54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</row>
    <row r="29" spans="1:36" ht="26.25" thickBot="1">
      <c r="A29" s="55" t="s">
        <v>84</v>
      </c>
      <c r="B29" s="56"/>
      <c r="C29" s="56"/>
      <c r="D29" s="56"/>
      <c r="E29" s="57"/>
      <c r="F29" s="21">
        <v>100</v>
      </c>
      <c r="G29" s="50" t="s">
        <v>85</v>
      </c>
      <c r="H29" s="51"/>
      <c r="I29" s="22" t="s">
        <v>86</v>
      </c>
      <c r="J29" s="50" t="s">
        <v>87</v>
      </c>
      <c r="K29" s="51"/>
      <c r="L29" s="50" t="s">
        <v>15</v>
      </c>
      <c r="M29" s="58"/>
      <c r="N29" s="51"/>
      <c r="O29" s="22" t="s">
        <v>15</v>
      </c>
      <c r="P29" s="50" t="s">
        <v>88</v>
      </c>
      <c r="Q29" s="51"/>
      <c r="R29" s="50" t="s">
        <v>15</v>
      </c>
      <c r="S29" s="51"/>
      <c r="T29" s="50" t="s">
        <v>15</v>
      </c>
      <c r="U29" s="51"/>
      <c r="V29" s="52" t="s">
        <v>89</v>
      </c>
      <c r="W29" s="53"/>
      <c r="X29" s="53"/>
      <c r="Y29" s="54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</row>
    <row r="30" spans="1:36" ht="15.75" thickBot="1">
      <c r="A30" s="55" t="s">
        <v>90</v>
      </c>
      <c r="B30" s="56"/>
      <c r="C30" s="56"/>
      <c r="D30" s="56"/>
      <c r="E30" s="57"/>
      <c r="F30" s="21">
        <v>26</v>
      </c>
      <c r="G30" s="50" t="s">
        <v>91</v>
      </c>
      <c r="H30" s="51"/>
      <c r="I30" s="22" t="s">
        <v>71</v>
      </c>
      <c r="J30" s="50" t="s">
        <v>92</v>
      </c>
      <c r="K30" s="51"/>
      <c r="L30" s="50" t="s">
        <v>15</v>
      </c>
      <c r="M30" s="58"/>
      <c r="N30" s="51"/>
      <c r="O30" s="22" t="s">
        <v>15</v>
      </c>
      <c r="P30" s="50" t="s">
        <v>15</v>
      </c>
      <c r="Q30" s="51"/>
      <c r="R30" s="50" t="s">
        <v>93</v>
      </c>
      <c r="S30" s="51"/>
      <c r="T30" s="50" t="s">
        <v>41</v>
      </c>
      <c r="U30" s="51"/>
      <c r="V30" s="52" t="s">
        <v>153</v>
      </c>
      <c r="W30" s="53"/>
      <c r="X30" s="53"/>
      <c r="Y30" s="54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</row>
    <row r="31" spans="1:36" ht="15.75" thickBot="1">
      <c r="A31" s="55" t="s">
        <v>95</v>
      </c>
      <c r="B31" s="56"/>
      <c r="C31" s="56"/>
      <c r="D31" s="56"/>
      <c r="E31" s="57"/>
      <c r="F31" s="21">
        <v>20</v>
      </c>
      <c r="G31" s="50" t="s">
        <v>154</v>
      </c>
      <c r="H31" s="51"/>
      <c r="I31" s="22" t="s">
        <v>13</v>
      </c>
      <c r="J31" s="50" t="s">
        <v>155</v>
      </c>
      <c r="K31" s="51"/>
      <c r="L31" s="50" t="s">
        <v>15</v>
      </c>
      <c r="M31" s="58"/>
      <c r="N31" s="51"/>
      <c r="O31" s="22" t="s">
        <v>15</v>
      </c>
      <c r="P31" s="50" t="s">
        <v>15</v>
      </c>
      <c r="Q31" s="51"/>
      <c r="R31" s="50" t="s">
        <v>99</v>
      </c>
      <c r="S31" s="51"/>
      <c r="T31" s="50" t="s">
        <v>15</v>
      </c>
      <c r="U31" s="51"/>
      <c r="V31" s="52" t="s">
        <v>100</v>
      </c>
      <c r="W31" s="53"/>
      <c r="X31" s="53"/>
      <c r="Y31" s="54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</row>
    <row r="32" spans="1:36" ht="15.75" thickBot="1">
      <c r="A32" s="55" t="s">
        <v>101</v>
      </c>
      <c r="B32" s="56"/>
      <c r="C32" s="56"/>
      <c r="D32" s="56"/>
      <c r="E32" s="57"/>
      <c r="F32" s="21">
        <v>139</v>
      </c>
      <c r="G32" s="50" t="s">
        <v>102</v>
      </c>
      <c r="H32" s="51"/>
      <c r="I32" s="22" t="s">
        <v>103</v>
      </c>
      <c r="J32" s="50" t="s">
        <v>104</v>
      </c>
      <c r="K32" s="51"/>
      <c r="L32" s="50" t="s">
        <v>15</v>
      </c>
      <c r="M32" s="58"/>
      <c r="N32" s="51"/>
      <c r="O32" s="22" t="s">
        <v>15</v>
      </c>
      <c r="P32" s="50" t="s">
        <v>15</v>
      </c>
      <c r="Q32" s="51"/>
      <c r="R32" s="50" t="s">
        <v>105</v>
      </c>
      <c r="S32" s="51"/>
      <c r="T32" s="50" t="s">
        <v>51</v>
      </c>
      <c r="U32" s="51"/>
      <c r="V32" s="52" t="s">
        <v>106</v>
      </c>
      <c r="W32" s="53"/>
      <c r="X32" s="53"/>
      <c r="Y32" s="54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</row>
    <row r="33" spans="1:36" ht="41.25" customHeight="1" thickBot="1">
      <c r="A33" s="55" t="s">
        <v>107</v>
      </c>
      <c r="B33" s="56"/>
      <c r="C33" s="56"/>
      <c r="D33" s="56"/>
      <c r="E33" s="57"/>
      <c r="F33" s="21">
        <v>239</v>
      </c>
      <c r="G33" s="50" t="s">
        <v>108</v>
      </c>
      <c r="H33" s="51"/>
      <c r="I33" s="22" t="s">
        <v>109</v>
      </c>
      <c r="J33" s="50" t="s">
        <v>110</v>
      </c>
      <c r="K33" s="51"/>
      <c r="L33" s="59" t="s">
        <v>156</v>
      </c>
      <c r="M33" s="60"/>
      <c r="N33" s="61"/>
      <c r="O33" s="22" t="s">
        <v>74</v>
      </c>
      <c r="P33" s="50" t="s">
        <v>112</v>
      </c>
      <c r="Q33" s="51"/>
      <c r="R33" s="50" t="s">
        <v>113</v>
      </c>
      <c r="S33" s="51"/>
      <c r="T33" s="50" t="s">
        <v>51</v>
      </c>
      <c r="U33" s="51"/>
      <c r="V33" s="52" t="s">
        <v>114</v>
      </c>
      <c r="W33" s="53"/>
      <c r="X33" s="53"/>
      <c r="Y33" s="54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</row>
    <row r="34" spans="1:36" ht="26.25" thickBot="1">
      <c r="A34" s="55" t="s">
        <v>157</v>
      </c>
      <c r="B34" s="56"/>
      <c r="C34" s="56"/>
      <c r="D34" s="56"/>
      <c r="E34" s="57"/>
      <c r="F34" s="21">
        <v>200</v>
      </c>
      <c r="G34" s="50" t="s">
        <v>116</v>
      </c>
      <c r="H34" s="51"/>
      <c r="I34" s="22" t="s">
        <v>158</v>
      </c>
      <c r="J34" s="50" t="s">
        <v>118</v>
      </c>
      <c r="K34" s="51"/>
      <c r="L34" s="50" t="s">
        <v>15</v>
      </c>
      <c r="M34" s="58"/>
      <c r="N34" s="51"/>
      <c r="O34" s="22" t="s">
        <v>15</v>
      </c>
      <c r="P34" s="50" t="s">
        <v>15</v>
      </c>
      <c r="Q34" s="51"/>
      <c r="R34" s="50" t="s">
        <v>15</v>
      </c>
      <c r="S34" s="51"/>
      <c r="T34" s="50" t="s">
        <v>119</v>
      </c>
      <c r="U34" s="51"/>
      <c r="V34" s="52" t="s">
        <v>159</v>
      </c>
      <c r="W34" s="53"/>
      <c r="X34" s="53"/>
      <c r="Y34" s="54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</row>
    <row r="35" spans="1:36" ht="50.25" customHeight="1" thickBot="1">
      <c r="A35" s="45" t="s">
        <v>121</v>
      </c>
      <c r="B35" s="46"/>
      <c r="C35" s="46"/>
      <c r="D35" s="46"/>
      <c r="E35" s="47"/>
      <c r="F35" s="24">
        <f>SUM(F6:F34)</f>
        <v>3587</v>
      </c>
      <c r="G35" s="42" t="s">
        <v>122</v>
      </c>
      <c r="H35" s="43"/>
      <c r="I35" s="25" t="s">
        <v>122</v>
      </c>
      <c r="J35" s="42" t="s">
        <v>122</v>
      </c>
      <c r="K35" s="43"/>
      <c r="L35" s="42" t="s">
        <v>160</v>
      </c>
      <c r="M35" s="44"/>
      <c r="N35" s="43"/>
      <c r="O35" s="25" t="s">
        <v>161</v>
      </c>
      <c r="P35" s="48" t="s">
        <v>162</v>
      </c>
      <c r="Q35" s="49"/>
      <c r="R35" s="42" t="s">
        <v>122</v>
      </c>
      <c r="S35" s="43"/>
      <c r="T35" s="42" t="s">
        <v>122</v>
      </c>
      <c r="U35" s="43"/>
      <c r="V35" s="42" t="s">
        <v>122</v>
      </c>
      <c r="W35" s="44"/>
      <c r="X35" s="44"/>
      <c r="Y35" s="43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</row>
    <row r="36" spans="1: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</row>
    <row r="37" spans="1:36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</row>
    <row r="38" spans="1:36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</row>
    <row r="39" spans="1:36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</row>
    <row r="40" spans="1:36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</row>
    <row r="41" spans="1:36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</row>
    <row r="42" spans="1:36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</row>
    <row r="43" spans="1:36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</row>
    <row r="44" spans="1:36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</row>
    <row r="45" spans="1:36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</row>
    <row r="46" spans="1:3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</row>
    <row r="47" spans="1:36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</row>
    <row r="48" spans="1:36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</row>
    <row r="49" spans="1:36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</row>
    <row r="50" spans="1:36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</row>
    <row r="51" spans="1:36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</row>
    <row r="52" spans="1:36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</row>
    <row r="53" spans="1:36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</row>
    <row r="54" spans="1:36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</row>
    <row r="55" spans="1:36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</row>
    <row r="56" spans="1:3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</row>
    <row r="57" spans="1:36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</row>
    <row r="58" spans="1:36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</row>
    <row r="59" spans="1:36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</row>
    <row r="60" spans="1:36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</row>
    <row r="61" spans="1:36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</row>
    <row r="62" spans="1:36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</row>
    <row r="63" spans="1:36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</row>
    <row r="64" spans="1:36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</row>
    <row r="65" spans="1:36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</row>
    <row r="66" spans="1:3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</row>
    <row r="67" spans="1:36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</row>
    <row r="68" spans="1:36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</row>
    <row r="69" spans="1:36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</row>
    <row r="70" spans="1:36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</row>
    <row r="71" spans="1:36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</row>
    <row r="72" spans="1:36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</row>
    <row r="73" spans="1:36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</row>
    <row r="74" spans="1:36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</row>
    <row r="75" spans="1:36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</row>
    <row r="76" spans="1:3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</row>
    <row r="77" spans="1:36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</row>
    <row r="78" spans="1:36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</row>
    <row r="79" spans="1:36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</row>
    <row r="80" spans="1:36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</row>
    <row r="81" spans="1:36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</row>
    <row r="82" spans="1:36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</row>
    <row r="83" spans="1:36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</row>
    <row r="84" spans="1:36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</row>
    <row r="85" spans="1:36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</row>
    <row r="86" spans="1:3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</row>
    <row r="87" spans="1:36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</row>
    <row r="88" spans="1:36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</row>
    <row r="89" spans="1:36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</row>
    <row r="90" spans="1:36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</row>
    <row r="91" spans="1:36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</row>
    <row r="92" spans="1:36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</row>
    <row r="93" spans="1:36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</row>
    <row r="94" spans="1:36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</row>
    <row r="95" spans="1:36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</row>
    <row r="96" spans="1:3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</row>
    <row r="97" spans="1:36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</row>
    <row r="98" spans="1:36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</row>
    <row r="99" spans="1:36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</row>
    <row r="100" spans="1:36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</row>
    <row r="101" spans="1:36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</row>
    <row r="102" spans="1:36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</row>
    <row r="103" spans="1:36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</row>
    <row r="104" spans="1:36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</row>
    <row r="105" spans="1:36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</row>
    <row r="106" spans="1:3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</row>
    <row r="107" spans="1:36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</row>
    <row r="108" spans="1:36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</row>
    <row r="109" spans="1:36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</row>
    <row r="110" spans="1:36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</row>
    <row r="111" spans="1:36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</row>
    <row r="112" spans="1:36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</row>
    <row r="113" spans="1:36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</row>
    <row r="114" spans="1:36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</row>
    <row r="115" spans="1:36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</row>
    <row r="116" spans="1:3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</row>
    <row r="117" spans="1:36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</row>
    <row r="118" spans="1:36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</row>
    <row r="119" spans="1:36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</row>
    <row r="120" spans="1:36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</row>
    <row r="121" spans="1:36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</row>
    <row r="122" spans="1:36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</row>
    <row r="123" spans="1:36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</row>
    <row r="124" spans="1:36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</row>
    <row r="125" spans="1:36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</row>
    <row r="126" spans="1:3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</row>
    <row r="127" spans="1:36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</row>
    <row r="128" spans="1:36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</row>
    <row r="129" spans="1:36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</row>
    <row r="130" spans="1:36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</row>
    <row r="131" spans="1:36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</row>
    <row r="132" spans="1:36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</row>
    <row r="133" spans="1:36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</row>
    <row r="134" spans="1:36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</row>
    <row r="135" spans="1:36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</row>
    <row r="136" spans="1: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</row>
    <row r="137" spans="1:36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</row>
    <row r="138" spans="1:36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</row>
    <row r="139" spans="1:36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</row>
    <row r="140" spans="1:36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</row>
    <row r="141" spans="1:36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</row>
    <row r="142" spans="1:36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</row>
    <row r="143" spans="1:36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</row>
    <row r="144" spans="1:36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</row>
    <row r="145" spans="1:36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</row>
    <row r="146" spans="1:3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</row>
    <row r="147" spans="1:36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</row>
    <row r="148" spans="1:36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</row>
    <row r="149" spans="1:36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</row>
    <row r="150" spans="1:36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</row>
    <row r="151" spans="1:36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</row>
    <row r="152" spans="1:36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</row>
    <row r="153" spans="1:36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</row>
    <row r="154" spans="1:36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</row>
    <row r="155" spans="1:36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</row>
    <row r="156" spans="1:3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</row>
    <row r="157" spans="1:36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</row>
    <row r="158" spans="1:36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</row>
    <row r="159" spans="1:36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</row>
    <row r="160" spans="1:36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</row>
    <row r="161" spans="1:36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</row>
    <row r="162" spans="1:36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</row>
    <row r="163" spans="1:36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</row>
    <row r="164" spans="1:36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</row>
    <row r="165" spans="1:36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</row>
    <row r="166" spans="1:3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</row>
    <row r="167" spans="1:36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</row>
    <row r="168" spans="1:36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</row>
    <row r="169" spans="1:36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</row>
    <row r="170" spans="1:36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</row>
    <row r="171" spans="1:36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</row>
    <row r="172" spans="1:36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</row>
    <row r="173" spans="1:36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</row>
    <row r="174" spans="1:36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</row>
    <row r="175" spans="1:36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</row>
    <row r="176" spans="1:3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</row>
    <row r="177" spans="1:36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</row>
    <row r="178" spans="1:36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</row>
    <row r="179" spans="1:36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</row>
    <row r="180" spans="1:36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</row>
    <row r="181" spans="1:36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</row>
    <row r="182" spans="1:36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</row>
    <row r="183" spans="1:36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</row>
    <row r="184" spans="1:36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</row>
    <row r="185" spans="1:36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</row>
    <row r="186" spans="1:3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</row>
    <row r="187" spans="1:36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</row>
    <row r="188" spans="1:36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</row>
    <row r="189" spans="1:36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</row>
    <row r="190" spans="1:36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</row>
    <row r="191" spans="1:36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</row>
    <row r="192" spans="1:36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</row>
    <row r="193" spans="1:36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</row>
    <row r="194" spans="1:36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</row>
    <row r="195" spans="1:36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</row>
    <row r="196" spans="1:3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</row>
    <row r="197" spans="1:36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</row>
    <row r="198" spans="1:36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</row>
    <row r="199" spans="1:36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</row>
    <row r="200" spans="1:36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</row>
    <row r="201" spans="1:36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</row>
    <row r="202" spans="1:36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</row>
    <row r="203" spans="1:36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</row>
    <row r="204" spans="1:36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</row>
    <row r="205" spans="1:36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</row>
    <row r="206" spans="1:3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</row>
    <row r="207" spans="1:36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</row>
    <row r="208" spans="1:36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</row>
    <row r="209" spans="1:36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</row>
    <row r="210" spans="1:36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</row>
    <row r="211" spans="1:36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</row>
    <row r="212" spans="1:36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</row>
    <row r="213" spans="1:36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</row>
    <row r="214" spans="1:36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</row>
    <row r="215" spans="1:36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</row>
    <row r="216" spans="1:3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</row>
    <row r="217" spans="1:36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</row>
    <row r="218" spans="1:36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</row>
    <row r="219" spans="1:36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</row>
    <row r="220" spans="1:36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</row>
    <row r="221" spans="1:36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</row>
    <row r="222" spans="1:36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</row>
    <row r="223" spans="1:36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</row>
    <row r="224" spans="1:36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</row>
    <row r="225" spans="1:36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</row>
    <row r="226" spans="1:3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</row>
    <row r="227" spans="1:36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</row>
    <row r="228" spans="1:36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</row>
    <row r="229" spans="1:36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</row>
    <row r="230" spans="1:36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</row>
    <row r="231" spans="1:36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</row>
    <row r="232" spans="1:36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</row>
    <row r="233" spans="1:36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</row>
    <row r="234" spans="1:36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</row>
    <row r="235" spans="1:36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</row>
    <row r="236" spans="1: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</row>
    <row r="237" spans="1:36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</row>
    <row r="238" spans="1:36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</row>
    <row r="239" spans="1:36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</row>
    <row r="240" spans="1:36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</row>
    <row r="241" spans="1:36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</row>
    <row r="242" spans="1:36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</row>
    <row r="243" spans="1:36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</row>
    <row r="244" spans="1:36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</row>
    <row r="245" spans="1:36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</row>
    <row r="246" spans="1:3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</row>
    <row r="247" spans="1:36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</row>
    <row r="248" spans="1:36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</row>
    <row r="249" spans="1:36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</row>
    <row r="250" spans="1:36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</row>
    <row r="251" spans="1:36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</row>
    <row r="252" spans="1:36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</row>
    <row r="253" spans="1:36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</row>
    <row r="254" spans="1:36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</row>
    <row r="255" spans="1:36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</row>
    <row r="256" spans="1:3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</row>
    <row r="257" spans="1:36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</row>
    <row r="258" spans="1:36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</row>
    <row r="259" spans="1:36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</row>
    <row r="260" spans="1:36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</row>
    <row r="261" spans="1:36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</row>
    <row r="262" spans="1:36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</row>
    <row r="263" spans="1:36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</row>
    <row r="264" spans="1:36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</row>
    <row r="265" spans="1:36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</row>
    <row r="266" spans="1:3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</row>
    <row r="267" spans="1:36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</row>
    <row r="268" spans="1:36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</row>
    <row r="269" spans="1:36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</row>
    <row r="270" spans="1:36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</row>
    <row r="271" spans="1:36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</row>
    <row r="272" spans="1:36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</row>
    <row r="273" spans="1:36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</row>
    <row r="274" spans="1:36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</row>
    <row r="275" spans="1:36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</row>
    <row r="276" spans="1:3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</row>
    <row r="277" spans="1:36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</row>
    <row r="278" spans="1:36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</row>
    <row r="279" spans="1:36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</row>
    <row r="280" spans="1:36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</row>
    <row r="281" spans="1:36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</row>
    <row r="282" spans="1:36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</row>
    <row r="283" spans="1:36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</row>
    <row r="284" spans="1:36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</row>
    <row r="285" spans="1:36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</row>
    <row r="286" spans="1:3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</row>
    <row r="287" spans="1:36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</row>
    <row r="288" spans="1:36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</row>
    <row r="289" spans="1:36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</row>
    <row r="290" spans="1:36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</row>
    <row r="291" spans="1:36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</row>
    <row r="292" spans="1:36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</row>
    <row r="293" spans="1:36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</row>
    <row r="294" spans="1:36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</row>
    <row r="295" spans="1:36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</row>
    <row r="296" spans="1:3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</row>
    <row r="297" spans="1:36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</row>
    <row r="298" spans="1:36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</row>
    <row r="299" spans="1:36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</row>
    <row r="300" spans="1:36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</row>
    <row r="301" spans="1:36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</row>
    <row r="302" spans="1:36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</row>
    <row r="303" spans="1:36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</row>
    <row r="304" spans="1:36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</row>
    <row r="305" spans="1:36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</row>
    <row r="306" spans="1:3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</row>
    <row r="307" spans="1:36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</row>
    <row r="308" spans="1:36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</row>
    <row r="309" spans="1:36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</row>
    <row r="310" spans="1:36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</row>
    <row r="311" spans="1:36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</row>
    <row r="312" spans="1:36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</row>
    <row r="313" spans="1:36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</row>
    <row r="314" spans="1:36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</row>
    <row r="315" spans="1:36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</row>
    <row r="316" spans="1:3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</row>
    <row r="317" spans="1:36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</row>
    <row r="318" spans="1:36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</row>
    <row r="319" spans="1:36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</row>
    <row r="320" spans="1:36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</row>
    <row r="321" spans="1:36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</row>
    <row r="322" spans="1:36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</row>
    <row r="323" spans="1:36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</row>
    <row r="324" spans="1:36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</row>
    <row r="325" spans="1:36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</row>
    <row r="326" spans="1:3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</row>
    <row r="327" spans="1:36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</row>
    <row r="328" spans="1:36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</row>
    <row r="329" spans="1:36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</row>
    <row r="330" spans="1:36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</row>
    <row r="331" spans="1:36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</row>
    <row r="332" spans="1:36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</row>
    <row r="333" spans="1:36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</row>
    <row r="334" spans="1:36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</row>
    <row r="335" spans="1:36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</row>
    <row r="336" spans="1: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</row>
    <row r="337" spans="1:36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</row>
    <row r="338" spans="1:36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</row>
    <row r="339" spans="1:36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</row>
    <row r="340" spans="1:36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</row>
    <row r="341" spans="1:36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</row>
    <row r="342" spans="1:36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</row>
    <row r="343" spans="1:36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</row>
    <row r="344" spans="1:36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</row>
    <row r="345" spans="1:36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</row>
    <row r="346" spans="1:3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</row>
    <row r="347" spans="1:36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</row>
    <row r="348" spans="1:36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</row>
    <row r="349" spans="1:36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</row>
    <row r="350" spans="1:36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</row>
    <row r="351" spans="1:36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</row>
    <row r="352" spans="1:36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</row>
    <row r="353" spans="1:36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</row>
    <row r="354" spans="1:36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</row>
    <row r="355" spans="1:36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</row>
    <row r="356" spans="1:3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</row>
    <row r="357" spans="1:36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</row>
    <row r="358" spans="1:36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</row>
    <row r="359" spans="1:36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</row>
    <row r="360" spans="1:36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</row>
    <row r="361" spans="1:36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</row>
    <row r="362" spans="1:36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</row>
    <row r="363" spans="1:36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</row>
    <row r="364" spans="1:36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</row>
    <row r="365" spans="1:36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</row>
    <row r="366" spans="1:3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</row>
    <row r="367" spans="1:36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</row>
    <row r="368" spans="1:36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</row>
    <row r="369" spans="1:36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</row>
    <row r="370" spans="1:36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</row>
    <row r="371" spans="1:36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</row>
    <row r="372" spans="1:36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</row>
    <row r="373" spans="1:36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</row>
    <row r="374" spans="1:36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</row>
    <row r="375" spans="1:36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</row>
    <row r="376" spans="1:3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</row>
    <row r="377" spans="1:36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</row>
    <row r="378" spans="1:36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</row>
    <row r="379" spans="1:36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</row>
    <row r="380" spans="1:36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</row>
    <row r="381" spans="1:36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</row>
    <row r="382" spans="1:36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</row>
    <row r="383" spans="1:36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</row>
    <row r="384" spans="1:36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</row>
    <row r="385" spans="1:36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</row>
    <row r="386" spans="1:3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</row>
    <row r="387" spans="1:36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</row>
    <row r="388" spans="1:36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</row>
    <row r="389" spans="1:36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</row>
    <row r="390" spans="1:36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</row>
    <row r="391" spans="1:36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</row>
    <row r="392" spans="1:36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</row>
    <row r="393" spans="1:36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</row>
    <row r="394" spans="1:36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</row>
    <row r="395" spans="1:36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</row>
    <row r="396" spans="1:3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</row>
    <row r="397" spans="1:36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</row>
    <row r="398" spans="1:36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</row>
    <row r="399" spans="1:36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</row>
    <row r="400" spans="1:36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</row>
    <row r="401" spans="1:36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</row>
    <row r="402" spans="1:36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</row>
    <row r="403" spans="1:36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</row>
    <row r="404" spans="1:36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</row>
  </sheetData>
  <mergeCells count="251">
    <mergeCell ref="J2:M3"/>
    <mergeCell ref="O2:R3"/>
    <mergeCell ref="B2:H3"/>
    <mergeCell ref="T5:U5"/>
    <mergeCell ref="V5:Y5"/>
    <mergeCell ref="A6:E6"/>
    <mergeCell ref="G6:H6"/>
    <mergeCell ref="J6:K6"/>
    <mergeCell ref="L6:N6"/>
    <mergeCell ref="P6:Q6"/>
    <mergeCell ref="R6:S6"/>
    <mergeCell ref="T6:U6"/>
    <mergeCell ref="V6:Y6"/>
    <mergeCell ref="A5:E5"/>
    <mergeCell ref="G5:H5"/>
    <mergeCell ref="J5:K5"/>
    <mergeCell ref="L5:N5"/>
    <mergeCell ref="P5:Q5"/>
    <mergeCell ref="R5:S5"/>
    <mergeCell ref="T7:U7"/>
    <mergeCell ref="V7:Y7"/>
    <mergeCell ref="A8:E8"/>
    <mergeCell ref="G8:H8"/>
    <mergeCell ref="J8:K8"/>
    <mergeCell ref="L8:N8"/>
    <mergeCell ref="P8:Q8"/>
    <mergeCell ref="R8:S8"/>
    <mergeCell ref="T8:U8"/>
    <mergeCell ref="V8:Y8"/>
    <mergeCell ref="A7:E7"/>
    <mergeCell ref="G7:H7"/>
    <mergeCell ref="J7:K7"/>
    <mergeCell ref="L7:N7"/>
    <mergeCell ref="P7:Q7"/>
    <mergeCell ref="R7:S7"/>
    <mergeCell ref="T9:U9"/>
    <mergeCell ref="V9:Y9"/>
    <mergeCell ref="A10:E10"/>
    <mergeCell ref="G10:H10"/>
    <mergeCell ref="J10:K10"/>
    <mergeCell ref="L10:N10"/>
    <mergeCell ref="P10:Q10"/>
    <mergeCell ref="R10:S10"/>
    <mergeCell ref="T10:U10"/>
    <mergeCell ref="V10:Y10"/>
    <mergeCell ref="A9:E9"/>
    <mergeCell ref="G9:H9"/>
    <mergeCell ref="J9:K9"/>
    <mergeCell ref="L9:N9"/>
    <mergeCell ref="P9:Q9"/>
    <mergeCell ref="R9:S9"/>
    <mergeCell ref="T11:U11"/>
    <mergeCell ref="V11:Y11"/>
    <mergeCell ref="A12:E12"/>
    <mergeCell ref="G12:H12"/>
    <mergeCell ref="J12:K12"/>
    <mergeCell ref="L12:N12"/>
    <mergeCell ref="P12:Q12"/>
    <mergeCell ref="R12:S12"/>
    <mergeCell ref="T12:U12"/>
    <mergeCell ref="V12:Y12"/>
    <mergeCell ref="A11:E11"/>
    <mergeCell ref="G11:H11"/>
    <mergeCell ref="J11:K11"/>
    <mergeCell ref="L11:N11"/>
    <mergeCell ref="P11:Q11"/>
    <mergeCell ref="R11:S11"/>
    <mergeCell ref="T13:U13"/>
    <mergeCell ref="V13:Y13"/>
    <mergeCell ref="A14:E14"/>
    <mergeCell ref="G14:H14"/>
    <mergeCell ref="J14:K14"/>
    <mergeCell ref="L14:N14"/>
    <mergeCell ref="P14:Q14"/>
    <mergeCell ref="R14:S14"/>
    <mergeCell ref="T14:U14"/>
    <mergeCell ref="V14:Y14"/>
    <mergeCell ref="A13:E13"/>
    <mergeCell ref="G13:H13"/>
    <mergeCell ref="J13:K13"/>
    <mergeCell ref="L13:N13"/>
    <mergeCell ref="P13:Q13"/>
    <mergeCell ref="R13:S13"/>
    <mergeCell ref="T15:U15"/>
    <mergeCell ref="V15:Y15"/>
    <mergeCell ref="A16:E16"/>
    <mergeCell ref="G16:H16"/>
    <mergeCell ref="J16:K16"/>
    <mergeCell ref="L16:N16"/>
    <mergeCell ref="P16:Q16"/>
    <mergeCell ref="R16:S16"/>
    <mergeCell ref="T16:U16"/>
    <mergeCell ref="V16:Y16"/>
    <mergeCell ref="A15:E15"/>
    <mergeCell ref="G15:H15"/>
    <mergeCell ref="J15:K15"/>
    <mergeCell ref="L15:N15"/>
    <mergeCell ref="P15:Q15"/>
    <mergeCell ref="R15:S15"/>
    <mergeCell ref="T17:U17"/>
    <mergeCell ref="V17:Y17"/>
    <mergeCell ref="A18:E18"/>
    <mergeCell ref="G18:H18"/>
    <mergeCell ref="J18:K18"/>
    <mergeCell ref="L18:N18"/>
    <mergeCell ref="P18:Q18"/>
    <mergeCell ref="R18:S18"/>
    <mergeCell ref="T18:U18"/>
    <mergeCell ref="V18:Y18"/>
    <mergeCell ref="A17:E17"/>
    <mergeCell ref="G17:H17"/>
    <mergeCell ref="J17:K17"/>
    <mergeCell ref="L17:N17"/>
    <mergeCell ref="P17:Q17"/>
    <mergeCell ref="R17:S17"/>
    <mergeCell ref="T19:U19"/>
    <mergeCell ref="V19:Y19"/>
    <mergeCell ref="A20:E20"/>
    <mergeCell ref="G20:H20"/>
    <mergeCell ref="J20:K20"/>
    <mergeCell ref="L20:N20"/>
    <mergeCell ref="P20:Q20"/>
    <mergeCell ref="R20:S20"/>
    <mergeCell ref="T20:U20"/>
    <mergeCell ref="V20:Y20"/>
    <mergeCell ref="A19:E19"/>
    <mergeCell ref="G19:H19"/>
    <mergeCell ref="J19:K19"/>
    <mergeCell ref="L19:N19"/>
    <mergeCell ref="P19:Q19"/>
    <mergeCell ref="R19:S19"/>
    <mergeCell ref="T21:U21"/>
    <mergeCell ref="V21:Y21"/>
    <mergeCell ref="A22:E22"/>
    <mergeCell ref="G22:H22"/>
    <mergeCell ref="J22:K22"/>
    <mergeCell ref="L22:N22"/>
    <mergeCell ref="P22:Q22"/>
    <mergeCell ref="R22:S22"/>
    <mergeCell ref="T22:U22"/>
    <mergeCell ref="V22:Y22"/>
    <mergeCell ref="A21:E21"/>
    <mergeCell ref="G21:H21"/>
    <mergeCell ref="J21:K21"/>
    <mergeCell ref="L21:N21"/>
    <mergeCell ref="P21:Q21"/>
    <mergeCell ref="R21:S21"/>
    <mergeCell ref="T23:U23"/>
    <mergeCell ref="V23:Y23"/>
    <mergeCell ref="A24:E24"/>
    <mergeCell ref="G24:H24"/>
    <mergeCell ref="J24:K24"/>
    <mergeCell ref="L24:N24"/>
    <mergeCell ref="P24:Q24"/>
    <mergeCell ref="R24:S24"/>
    <mergeCell ref="T24:U24"/>
    <mergeCell ref="V24:Y24"/>
    <mergeCell ref="A23:E23"/>
    <mergeCell ref="G23:H23"/>
    <mergeCell ref="J23:K23"/>
    <mergeCell ref="L23:N23"/>
    <mergeCell ref="P23:Q23"/>
    <mergeCell ref="R23:S23"/>
    <mergeCell ref="T25:U25"/>
    <mergeCell ref="V25:Y25"/>
    <mergeCell ref="A26:E26"/>
    <mergeCell ref="G26:H26"/>
    <mergeCell ref="J26:K26"/>
    <mergeCell ref="L26:N26"/>
    <mergeCell ref="P26:Q26"/>
    <mergeCell ref="R26:S26"/>
    <mergeCell ref="T26:U26"/>
    <mergeCell ref="V26:Y26"/>
    <mergeCell ref="A25:E25"/>
    <mergeCell ref="G25:H25"/>
    <mergeCell ref="J25:K25"/>
    <mergeCell ref="L25:N25"/>
    <mergeCell ref="P25:Q25"/>
    <mergeCell ref="R25:S25"/>
    <mergeCell ref="T27:U27"/>
    <mergeCell ref="V27:Y27"/>
    <mergeCell ref="A28:E28"/>
    <mergeCell ref="G28:H28"/>
    <mergeCell ref="J28:K28"/>
    <mergeCell ref="L28:N28"/>
    <mergeCell ref="P28:Q28"/>
    <mergeCell ref="R28:S28"/>
    <mergeCell ref="T28:U28"/>
    <mergeCell ref="V28:Y28"/>
    <mergeCell ref="A27:E27"/>
    <mergeCell ref="G27:H27"/>
    <mergeCell ref="J27:K27"/>
    <mergeCell ref="L27:N27"/>
    <mergeCell ref="P27:Q27"/>
    <mergeCell ref="R27:S27"/>
    <mergeCell ref="T29:U29"/>
    <mergeCell ref="V29:Y29"/>
    <mergeCell ref="A30:E30"/>
    <mergeCell ref="G30:H30"/>
    <mergeCell ref="J30:K30"/>
    <mergeCell ref="L30:N30"/>
    <mergeCell ref="P30:Q30"/>
    <mergeCell ref="R30:S30"/>
    <mergeCell ref="T30:U30"/>
    <mergeCell ref="V30:Y30"/>
    <mergeCell ref="A29:E29"/>
    <mergeCell ref="G29:H29"/>
    <mergeCell ref="J29:K29"/>
    <mergeCell ref="L29:N29"/>
    <mergeCell ref="P29:Q29"/>
    <mergeCell ref="R29:S29"/>
    <mergeCell ref="T31:U31"/>
    <mergeCell ref="V31:Y31"/>
    <mergeCell ref="A32:E32"/>
    <mergeCell ref="G32:H32"/>
    <mergeCell ref="J32:K32"/>
    <mergeCell ref="L32:N32"/>
    <mergeCell ref="P32:Q32"/>
    <mergeCell ref="R32:S32"/>
    <mergeCell ref="T32:U32"/>
    <mergeCell ref="V32:Y32"/>
    <mergeCell ref="A31:E31"/>
    <mergeCell ref="G31:H31"/>
    <mergeCell ref="J31:K31"/>
    <mergeCell ref="L31:N31"/>
    <mergeCell ref="P31:Q31"/>
    <mergeCell ref="R31:S31"/>
    <mergeCell ref="T35:U35"/>
    <mergeCell ref="V35:Y35"/>
    <mergeCell ref="A35:E35"/>
    <mergeCell ref="G35:H35"/>
    <mergeCell ref="J35:K35"/>
    <mergeCell ref="L35:N35"/>
    <mergeCell ref="P35:Q35"/>
    <mergeCell ref="R35:S35"/>
    <mergeCell ref="T33:U33"/>
    <mergeCell ref="V33:Y33"/>
    <mergeCell ref="A34:E34"/>
    <mergeCell ref="G34:H34"/>
    <mergeCell ref="J34:K34"/>
    <mergeCell ref="L34:N34"/>
    <mergeCell ref="P34:Q34"/>
    <mergeCell ref="R34:S34"/>
    <mergeCell ref="T34:U34"/>
    <mergeCell ref="V34:Y34"/>
    <mergeCell ref="A33:E33"/>
    <mergeCell ref="G33:H33"/>
    <mergeCell ref="J33:K33"/>
    <mergeCell ref="L33:N33"/>
    <mergeCell ref="P33:Q33"/>
    <mergeCell ref="R33:S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Niemuth</dc:creator>
  <cp:lastModifiedBy>Reece Niemuth</cp:lastModifiedBy>
  <dcterms:created xsi:type="dcterms:W3CDTF">2025-12-08T21:09:13Z</dcterms:created>
  <dcterms:modified xsi:type="dcterms:W3CDTF">2025-12-14T00:21:34Z</dcterms:modified>
</cp:coreProperties>
</file>